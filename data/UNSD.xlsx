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nais_7ore7vi\Desktop\"/>
    </mc:Choice>
  </mc:AlternateContent>
  <xr:revisionPtr revIDLastSave="0" documentId="13_ncr:1_{2CFE4CC9-2FBF-46CD-884B-5028C8E0629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Sheet1!$A$1:$O$258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Q7" i="1" s="1"/>
  <c r="R7" i="1"/>
  <c r="P6" i="1"/>
  <c r="Q6" i="1" s="1"/>
  <c r="R6" i="1"/>
  <c r="P5" i="1"/>
  <c r="Q5" i="1" s="1"/>
  <c r="R5" i="1"/>
  <c r="P4" i="1"/>
  <c r="Q4" i="1" s="1"/>
  <c r="R4" i="1"/>
  <c r="P3" i="1"/>
  <c r="Q3" i="1" s="1"/>
  <c r="R3" i="1"/>
  <c r="R8" i="1"/>
  <c r="R9" i="1"/>
  <c r="R11" i="1"/>
  <c r="R13" i="1"/>
  <c r="R14" i="1"/>
  <c r="R15" i="1"/>
  <c r="R17" i="1"/>
  <c r="R23" i="1"/>
  <c r="R18" i="1"/>
  <c r="R19" i="1"/>
  <c r="R16" i="1"/>
  <c r="R20" i="1"/>
  <c r="R21" i="1"/>
  <c r="R22" i="1"/>
  <c r="R24" i="1"/>
  <c r="R41" i="1"/>
  <c r="R25" i="1"/>
  <c r="R33" i="1"/>
  <c r="R66" i="1"/>
  <c r="R27" i="1"/>
  <c r="R28" i="1"/>
  <c r="R29" i="1"/>
  <c r="R30" i="1"/>
  <c r="R32" i="1"/>
  <c r="R37" i="1"/>
  <c r="R38" i="1"/>
  <c r="R251" i="1"/>
  <c r="R40" i="1"/>
  <c r="R45" i="1"/>
  <c r="R42" i="1"/>
  <c r="R43" i="1"/>
  <c r="R44" i="1"/>
  <c r="R47" i="1"/>
  <c r="R49" i="1"/>
  <c r="R50" i="1"/>
  <c r="R51" i="1"/>
  <c r="R55" i="1"/>
  <c r="R56" i="1"/>
  <c r="R58" i="1"/>
  <c r="R61" i="1"/>
  <c r="R62" i="1"/>
  <c r="R63" i="1"/>
  <c r="R64" i="1"/>
  <c r="R65" i="1"/>
  <c r="R59" i="1"/>
  <c r="R67" i="1"/>
  <c r="R86" i="1"/>
  <c r="R68" i="1"/>
  <c r="R69" i="1"/>
  <c r="R70" i="1"/>
  <c r="R243" i="1"/>
  <c r="R71" i="1"/>
  <c r="R72" i="1"/>
  <c r="R74" i="1"/>
  <c r="R75" i="1"/>
  <c r="R224" i="1"/>
  <c r="R73" i="1"/>
  <c r="R79" i="1"/>
  <c r="R80" i="1"/>
  <c r="R82" i="1"/>
  <c r="R87" i="1"/>
  <c r="R89" i="1"/>
  <c r="R88" i="1"/>
  <c r="R91" i="1"/>
  <c r="R92" i="1"/>
  <c r="R95" i="1"/>
  <c r="R97" i="1"/>
  <c r="R100" i="1"/>
  <c r="R101" i="1"/>
  <c r="R188" i="1"/>
  <c r="R102" i="1"/>
  <c r="R103" i="1"/>
  <c r="R106" i="1"/>
  <c r="R108" i="1"/>
  <c r="R109" i="1"/>
  <c r="R110" i="1"/>
  <c r="R111" i="1"/>
  <c r="R112" i="1"/>
  <c r="R113" i="1"/>
  <c r="R114" i="1"/>
  <c r="R115" i="1"/>
  <c r="R116" i="1"/>
  <c r="R118" i="1"/>
  <c r="R119" i="1"/>
  <c r="R121" i="1"/>
  <c r="R120" i="1"/>
  <c r="R122" i="1"/>
  <c r="R94" i="1"/>
  <c r="R126" i="1"/>
  <c r="R127" i="1"/>
  <c r="R128" i="1"/>
  <c r="R131" i="1"/>
  <c r="R129" i="1"/>
  <c r="R130" i="1"/>
  <c r="R132" i="1"/>
  <c r="R133" i="1"/>
  <c r="R134" i="1"/>
  <c r="R135" i="1"/>
  <c r="R136" i="1"/>
  <c r="R138" i="1"/>
  <c r="R139" i="1"/>
  <c r="R140" i="1"/>
  <c r="R141" i="1"/>
  <c r="R142" i="1"/>
  <c r="R143" i="1"/>
  <c r="R176" i="1"/>
  <c r="R145" i="1"/>
  <c r="R146" i="1"/>
  <c r="R147" i="1"/>
  <c r="R148" i="1"/>
  <c r="R149" i="1"/>
  <c r="R151" i="1"/>
  <c r="R153" i="1"/>
  <c r="R154" i="1"/>
  <c r="R39" i="1"/>
  <c r="R156" i="1"/>
  <c r="R157" i="1"/>
  <c r="R158" i="1"/>
  <c r="R166" i="1"/>
  <c r="R167" i="1"/>
  <c r="R168" i="1"/>
  <c r="R169" i="1"/>
  <c r="R242" i="1"/>
  <c r="R172" i="1"/>
  <c r="R155" i="1"/>
  <c r="R178" i="1"/>
  <c r="R177" i="1"/>
  <c r="R179" i="1"/>
  <c r="R180" i="1"/>
  <c r="R181" i="1"/>
  <c r="R182" i="1"/>
  <c r="R183" i="1"/>
  <c r="R186" i="1"/>
  <c r="R187" i="1"/>
  <c r="R191" i="1"/>
  <c r="R124" i="1"/>
  <c r="R150" i="1"/>
  <c r="R193" i="1"/>
  <c r="R194" i="1"/>
  <c r="R195" i="1"/>
  <c r="R198" i="1"/>
  <c r="R200" i="1"/>
  <c r="R203" i="1"/>
  <c r="R256" i="1"/>
  <c r="R204" i="1"/>
  <c r="R205" i="1"/>
  <c r="R206" i="1"/>
  <c r="R207" i="1"/>
  <c r="R208" i="1"/>
  <c r="R209" i="1"/>
  <c r="R210" i="1"/>
  <c r="R211" i="1"/>
  <c r="R212" i="1"/>
  <c r="R214" i="1"/>
  <c r="R35" i="1"/>
  <c r="R215" i="1"/>
  <c r="R216" i="1"/>
  <c r="R219" i="1"/>
  <c r="R218" i="1"/>
  <c r="R48" i="1"/>
  <c r="R220" i="1"/>
  <c r="R222" i="1"/>
  <c r="R225" i="1"/>
  <c r="R226" i="1"/>
  <c r="R227" i="1"/>
  <c r="R228" i="1"/>
  <c r="R229" i="1"/>
  <c r="R189" i="1"/>
  <c r="R230" i="1"/>
  <c r="R232" i="1"/>
  <c r="R233" i="1"/>
  <c r="R235" i="1"/>
  <c r="R236" i="1"/>
  <c r="R237" i="1"/>
  <c r="R239" i="1"/>
  <c r="R240" i="1"/>
  <c r="R241" i="1"/>
  <c r="R234" i="1"/>
  <c r="R248" i="1"/>
  <c r="R249" i="1"/>
  <c r="R252" i="1"/>
  <c r="R253" i="1"/>
  <c r="R165" i="1"/>
  <c r="R254" i="1"/>
  <c r="R213" i="1"/>
  <c r="R257" i="1"/>
  <c r="R258" i="1"/>
  <c r="R217" i="1"/>
  <c r="R81" i="1"/>
  <c r="R12" i="1"/>
  <c r="R199" i="1"/>
  <c r="R10" i="1"/>
  <c r="R161" i="1"/>
  <c r="R26" i="1"/>
  <c r="R163" i="1"/>
  <c r="R31" i="1"/>
  <c r="R34" i="1"/>
  <c r="R36" i="1"/>
  <c r="R46" i="1"/>
  <c r="R53" i="1"/>
  <c r="R54" i="1"/>
  <c r="R60" i="1"/>
  <c r="R160" i="1"/>
  <c r="R77" i="1"/>
  <c r="R76" i="1"/>
  <c r="R83" i="1"/>
  <c r="R84" i="1"/>
  <c r="R85" i="1"/>
  <c r="R93" i="1"/>
  <c r="R96" i="1"/>
  <c r="R98" i="1"/>
  <c r="R99" i="1"/>
  <c r="R245" i="1"/>
  <c r="R104" i="1"/>
  <c r="R105" i="1"/>
  <c r="R247" i="1"/>
  <c r="R246" i="1"/>
  <c r="R144" i="1"/>
  <c r="R57" i="1"/>
  <c r="R152" i="1"/>
  <c r="R164" i="1"/>
  <c r="R170" i="1"/>
  <c r="R171" i="1"/>
  <c r="R173" i="1"/>
  <c r="R90" i="1"/>
  <c r="R185" i="1"/>
  <c r="R190" i="1"/>
  <c r="R192" i="1"/>
  <c r="R196" i="1"/>
  <c r="R197" i="1"/>
  <c r="R202" i="1"/>
  <c r="R162" i="1"/>
  <c r="R78" i="1"/>
  <c r="R223" i="1"/>
  <c r="R231" i="1"/>
  <c r="R238" i="1"/>
  <c r="R174" i="1"/>
  <c r="R250" i="1"/>
  <c r="R255" i="1"/>
  <c r="R221" i="1"/>
  <c r="R184" i="1"/>
  <c r="R2" i="1"/>
  <c r="P2" i="1"/>
  <c r="Q2" i="1" s="1"/>
  <c r="P8" i="1"/>
  <c r="Q8" i="1" s="1"/>
  <c r="P81" i="1"/>
  <c r="Q81" i="1" s="1"/>
  <c r="P9" i="1"/>
  <c r="Q9" i="1" s="1"/>
  <c r="P11" i="1"/>
  <c r="Q11" i="1" s="1"/>
  <c r="P12" i="1"/>
  <c r="Q12" i="1" s="1"/>
  <c r="P13" i="1"/>
  <c r="Q13" i="1" s="1"/>
  <c r="P14" i="1"/>
  <c r="Q14" i="1" s="1"/>
  <c r="P199" i="1"/>
  <c r="Q199" i="1" s="1"/>
  <c r="P10" i="1"/>
  <c r="Q10" i="1" s="1"/>
  <c r="P15" i="1"/>
  <c r="Q15" i="1" s="1"/>
  <c r="P17" i="1"/>
  <c r="Q17" i="1" s="1"/>
  <c r="P23" i="1"/>
  <c r="Q23" i="1" s="1"/>
  <c r="P161" i="1"/>
  <c r="Q161" i="1" s="1"/>
  <c r="P18" i="1"/>
  <c r="Q18" i="1" s="1"/>
  <c r="P19" i="1"/>
  <c r="Q19" i="1" s="1"/>
  <c r="P16" i="1"/>
  <c r="Q16" i="1" s="1"/>
  <c r="P184" i="1"/>
  <c r="Q184" i="1" s="1"/>
  <c r="P20" i="1"/>
  <c r="Q20" i="1" s="1"/>
  <c r="P21" i="1"/>
  <c r="Q21" i="1" s="1"/>
  <c r="P22" i="1"/>
  <c r="Q22" i="1" s="1"/>
  <c r="P24" i="1"/>
  <c r="Q24" i="1" s="1"/>
  <c r="P41" i="1"/>
  <c r="Q41" i="1" s="1"/>
  <c r="P25" i="1"/>
  <c r="Q25" i="1" s="1"/>
  <c r="P33" i="1"/>
  <c r="Q33" i="1" s="1"/>
  <c r="P66" i="1"/>
  <c r="Q66" i="1" s="1"/>
  <c r="P26" i="1"/>
  <c r="Q26" i="1" s="1"/>
  <c r="P27" i="1"/>
  <c r="Q27" i="1" s="1"/>
  <c r="P28" i="1"/>
  <c r="Q28" i="1" s="1"/>
  <c r="P163" i="1"/>
  <c r="Q163" i="1" s="1"/>
  <c r="P29" i="1"/>
  <c r="Q29" i="1" s="1"/>
  <c r="P30" i="1"/>
  <c r="Q30" i="1" s="1"/>
  <c r="P31" i="1"/>
  <c r="Q31" i="1" s="1"/>
  <c r="P32" i="1"/>
  <c r="Q32" i="1" s="1"/>
  <c r="P34" i="1"/>
  <c r="Q34" i="1" s="1"/>
  <c r="P36" i="1"/>
  <c r="Q36" i="1" s="1"/>
  <c r="P37" i="1"/>
  <c r="Q37" i="1" s="1"/>
  <c r="P38" i="1"/>
  <c r="Q38" i="1" s="1"/>
  <c r="P251" i="1"/>
  <c r="Q251" i="1" s="1"/>
  <c r="P40" i="1"/>
  <c r="Q40" i="1" s="1"/>
  <c r="P45" i="1"/>
  <c r="Q45" i="1" s="1"/>
  <c r="P42" i="1"/>
  <c r="Q42" i="1" s="1"/>
  <c r="P43" i="1"/>
  <c r="Q43" i="1" s="1"/>
  <c r="P44" i="1"/>
  <c r="Q44" i="1" s="1"/>
  <c r="P46" i="1"/>
  <c r="Q46" i="1" s="1"/>
  <c r="P47" i="1"/>
  <c r="Q47" i="1" s="1"/>
  <c r="P49" i="1"/>
  <c r="Q49" i="1" s="1"/>
  <c r="P50" i="1"/>
  <c r="Q50" i="1" s="1"/>
  <c r="P51" i="1"/>
  <c r="Q51" i="1" s="1"/>
  <c r="P107" i="1"/>
  <c r="Q107" i="1" s="1"/>
  <c r="P137" i="1"/>
  <c r="Q137" i="1" s="1"/>
  <c r="P53" i="1"/>
  <c r="Q53" i="1" s="1"/>
  <c r="P54" i="1"/>
  <c r="Q54" i="1" s="1"/>
  <c r="P55" i="1"/>
  <c r="Q55" i="1" s="1"/>
  <c r="P56" i="1"/>
  <c r="Q56" i="1" s="1"/>
  <c r="P58" i="1"/>
  <c r="Q58" i="1" s="1"/>
  <c r="P60" i="1"/>
  <c r="Q60" i="1" s="1"/>
  <c r="P61" i="1"/>
  <c r="Q61" i="1" s="1"/>
  <c r="P117" i="1"/>
  <c r="Q117" i="1" s="1"/>
  <c r="P62" i="1"/>
  <c r="Q62" i="1" s="1"/>
  <c r="P63" i="1"/>
  <c r="Q63" i="1" s="1"/>
  <c r="P160" i="1"/>
  <c r="Q160" i="1" s="1"/>
  <c r="P64" i="1"/>
  <c r="Q64" i="1" s="1"/>
  <c r="P65" i="1"/>
  <c r="Q65" i="1" s="1"/>
  <c r="P123" i="1"/>
  <c r="Q123" i="1" s="1"/>
  <c r="P59" i="1"/>
  <c r="Q59" i="1" s="1"/>
  <c r="P67" i="1"/>
  <c r="Q67" i="1" s="1"/>
  <c r="P86" i="1"/>
  <c r="Q86" i="1" s="1"/>
  <c r="P68" i="1"/>
  <c r="Q68" i="1" s="1"/>
  <c r="P69" i="1"/>
  <c r="Q69" i="1" s="1"/>
  <c r="P70" i="1"/>
  <c r="Q70" i="1" s="1"/>
  <c r="P243" i="1"/>
  <c r="Q243" i="1" s="1"/>
  <c r="P71" i="1"/>
  <c r="Q71" i="1" s="1"/>
  <c r="P72" i="1"/>
  <c r="Q72" i="1" s="1"/>
  <c r="P74" i="1"/>
  <c r="Q74" i="1" s="1"/>
  <c r="P75" i="1"/>
  <c r="Q75" i="1" s="1"/>
  <c r="P224" i="1"/>
  <c r="Q224" i="1" s="1"/>
  <c r="P73" i="1"/>
  <c r="Q73" i="1" s="1"/>
  <c r="P77" i="1"/>
  <c r="Q77" i="1" s="1"/>
  <c r="P76" i="1"/>
  <c r="Q76" i="1" s="1"/>
  <c r="P79" i="1"/>
  <c r="Q79" i="1" s="1"/>
  <c r="P80" i="1"/>
  <c r="Q80" i="1" s="1"/>
  <c r="P82" i="1"/>
  <c r="Q82" i="1" s="1"/>
  <c r="P83" i="1"/>
  <c r="Q83" i="1" s="1"/>
  <c r="P84" i="1"/>
  <c r="Q84" i="1" s="1"/>
  <c r="P85" i="1"/>
  <c r="Q85" i="1" s="1"/>
  <c r="P87" i="1"/>
  <c r="Q87" i="1" s="1"/>
  <c r="P89" i="1"/>
  <c r="Q89" i="1" s="1"/>
  <c r="P88" i="1"/>
  <c r="Q88" i="1" s="1"/>
  <c r="P91" i="1"/>
  <c r="Q91" i="1" s="1"/>
  <c r="P92" i="1"/>
  <c r="Q92" i="1" s="1"/>
  <c r="P93" i="1"/>
  <c r="Q93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245" i="1"/>
  <c r="Q245" i="1" s="1"/>
  <c r="P101" i="1"/>
  <c r="Q101" i="1" s="1"/>
  <c r="P188" i="1"/>
  <c r="Q188" i="1" s="1"/>
  <c r="P102" i="1"/>
  <c r="Q102" i="1" s="1"/>
  <c r="P103" i="1"/>
  <c r="Q103" i="1" s="1"/>
  <c r="P104" i="1"/>
  <c r="Q104" i="1" s="1"/>
  <c r="P105" i="1"/>
  <c r="Q105" i="1" s="1"/>
  <c r="P106" i="1"/>
  <c r="Q106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247" i="1"/>
  <c r="Q247" i="1" s="1"/>
  <c r="P115" i="1"/>
  <c r="Q115" i="1" s="1"/>
  <c r="P116" i="1"/>
  <c r="Q116" i="1" s="1"/>
  <c r="P118" i="1"/>
  <c r="Q118" i="1" s="1"/>
  <c r="P119" i="1"/>
  <c r="Q119" i="1" s="1"/>
  <c r="P246" i="1"/>
  <c r="Q246" i="1" s="1"/>
  <c r="P121" i="1"/>
  <c r="Q121" i="1" s="1"/>
  <c r="P120" i="1"/>
  <c r="Q120" i="1" s="1"/>
  <c r="P122" i="1"/>
  <c r="Q122" i="1" s="1"/>
  <c r="P94" i="1"/>
  <c r="Q94" i="1" s="1"/>
  <c r="P125" i="1"/>
  <c r="Q125" i="1" s="1"/>
  <c r="P126" i="1"/>
  <c r="Q126" i="1" s="1"/>
  <c r="P127" i="1"/>
  <c r="Q127" i="1" s="1"/>
  <c r="P128" i="1"/>
  <c r="Q128" i="1" s="1"/>
  <c r="P131" i="1"/>
  <c r="Q131" i="1" s="1"/>
  <c r="P129" i="1"/>
  <c r="Q129" i="1" s="1"/>
  <c r="P130" i="1"/>
  <c r="Q130" i="1" s="1"/>
  <c r="P132" i="1"/>
  <c r="Q132" i="1" s="1"/>
  <c r="P133" i="1"/>
  <c r="Q133" i="1" s="1"/>
  <c r="P134" i="1"/>
  <c r="Q134" i="1" s="1"/>
  <c r="P135" i="1"/>
  <c r="Q135" i="1" s="1"/>
  <c r="P136" i="1"/>
  <c r="Q136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76" i="1"/>
  <c r="Q176" i="1" s="1"/>
  <c r="P144" i="1"/>
  <c r="Q144" i="1" s="1"/>
  <c r="P145" i="1"/>
  <c r="Q145" i="1" s="1"/>
  <c r="P146" i="1"/>
  <c r="Q146" i="1" s="1"/>
  <c r="P57" i="1"/>
  <c r="Q57" i="1" s="1"/>
  <c r="P147" i="1"/>
  <c r="Q147" i="1" s="1"/>
  <c r="P175" i="1"/>
  <c r="Q175" i="1" s="1"/>
  <c r="P148" i="1"/>
  <c r="Q148" i="1" s="1"/>
  <c r="P149" i="1"/>
  <c r="Q149" i="1" s="1"/>
  <c r="P151" i="1"/>
  <c r="Q151" i="1" s="1"/>
  <c r="P152" i="1"/>
  <c r="Q152" i="1" s="1"/>
  <c r="P153" i="1"/>
  <c r="Q153" i="1" s="1"/>
  <c r="P154" i="1"/>
  <c r="Q154" i="1" s="1"/>
  <c r="P39" i="1"/>
  <c r="Q39" i="1" s="1"/>
  <c r="P156" i="1"/>
  <c r="Q156" i="1" s="1"/>
  <c r="P157" i="1"/>
  <c r="Q157" i="1" s="1"/>
  <c r="P158" i="1"/>
  <c r="Q158" i="1" s="1"/>
  <c r="P159" i="1"/>
  <c r="Q159" i="1" s="1"/>
  <c r="P164" i="1"/>
  <c r="Q164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242" i="1"/>
  <c r="Q242" i="1" s="1"/>
  <c r="P173" i="1"/>
  <c r="Q173" i="1" s="1"/>
  <c r="P172" i="1"/>
  <c r="Q172" i="1" s="1"/>
  <c r="P155" i="1"/>
  <c r="Q155" i="1" s="1"/>
  <c r="P178" i="1"/>
  <c r="Q178" i="1" s="1"/>
  <c r="P177" i="1"/>
  <c r="Q177" i="1" s="1"/>
  <c r="P90" i="1"/>
  <c r="Q90" i="1" s="1"/>
  <c r="P179" i="1"/>
  <c r="Q179" i="1" s="1"/>
  <c r="P180" i="1"/>
  <c r="Q180" i="1" s="1"/>
  <c r="P181" i="1"/>
  <c r="Q181" i="1" s="1"/>
  <c r="P182" i="1"/>
  <c r="Q182" i="1" s="1"/>
  <c r="P183" i="1"/>
  <c r="Q183" i="1" s="1"/>
  <c r="P185" i="1"/>
  <c r="Q185" i="1" s="1"/>
  <c r="P186" i="1"/>
  <c r="Q186" i="1" s="1"/>
  <c r="P187" i="1"/>
  <c r="Q187" i="1" s="1"/>
  <c r="P190" i="1"/>
  <c r="Q190" i="1" s="1"/>
  <c r="P191" i="1"/>
  <c r="Q191" i="1" s="1"/>
  <c r="P124" i="1"/>
  <c r="Q124" i="1" s="1"/>
  <c r="P150" i="1"/>
  <c r="Q150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200" i="1"/>
  <c r="Q200" i="1" s="1"/>
  <c r="P201" i="1"/>
  <c r="Q201" i="1" s="1"/>
  <c r="P202" i="1"/>
  <c r="Q202" i="1" s="1"/>
  <c r="P203" i="1"/>
  <c r="Q203" i="1" s="1"/>
  <c r="P256" i="1"/>
  <c r="Q256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162" i="1"/>
  <c r="Q162" i="1" s="1"/>
  <c r="P212" i="1"/>
  <c r="Q212" i="1" s="1"/>
  <c r="P214" i="1"/>
  <c r="Q214" i="1" s="1"/>
  <c r="P35" i="1"/>
  <c r="Q35" i="1" s="1"/>
  <c r="P215" i="1"/>
  <c r="Q215" i="1" s="1"/>
  <c r="P216" i="1"/>
  <c r="Q216" i="1" s="1"/>
  <c r="P78" i="1"/>
  <c r="Q78" i="1" s="1"/>
  <c r="P219" i="1"/>
  <c r="Q219" i="1" s="1"/>
  <c r="P218" i="1"/>
  <c r="Q218" i="1" s="1"/>
  <c r="P48" i="1"/>
  <c r="Q48" i="1" s="1"/>
  <c r="P220" i="1"/>
  <c r="Q220" i="1" s="1"/>
  <c r="P222" i="1"/>
  <c r="Q222" i="1" s="1"/>
  <c r="P223" i="1"/>
  <c r="Q223" i="1" s="1"/>
  <c r="P225" i="1"/>
  <c r="Q225" i="1" s="1"/>
  <c r="P226" i="1"/>
  <c r="Q226" i="1" s="1"/>
  <c r="P227" i="1"/>
  <c r="Q227" i="1" s="1"/>
  <c r="P52" i="1"/>
  <c r="Q52" i="1" s="1"/>
  <c r="P228" i="1"/>
  <c r="Q228" i="1" s="1"/>
  <c r="P229" i="1"/>
  <c r="Q229" i="1" s="1"/>
  <c r="P189" i="1"/>
  <c r="Q189" i="1" s="1"/>
  <c r="P230" i="1"/>
  <c r="Q230" i="1" s="1"/>
  <c r="P231" i="1"/>
  <c r="Q231" i="1" s="1"/>
  <c r="P232" i="1"/>
  <c r="Q232" i="1" s="1"/>
  <c r="P233" i="1"/>
  <c r="Q233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34" i="1"/>
  <c r="Q234" i="1" s="1"/>
  <c r="P244" i="1"/>
  <c r="Q244" i="1" s="1"/>
  <c r="P248" i="1"/>
  <c r="Q248" i="1" s="1"/>
  <c r="P174" i="1"/>
  <c r="Q174" i="1" s="1"/>
  <c r="P249" i="1"/>
  <c r="Q249" i="1" s="1"/>
  <c r="P250" i="1"/>
  <c r="Q250" i="1" s="1"/>
  <c r="P252" i="1"/>
  <c r="Q252" i="1" s="1"/>
  <c r="P253" i="1"/>
  <c r="Q253" i="1" s="1"/>
  <c r="P165" i="1"/>
  <c r="Q165" i="1" s="1"/>
  <c r="P254" i="1"/>
  <c r="Q254" i="1" s="1"/>
  <c r="P213" i="1"/>
  <c r="Q213" i="1" s="1"/>
  <c r="P255" i="1"/>
  <c r="Q255" i="1" s="1"/>
  <c r="P221" i="1"/>
  <c r="Q221" i="1" s="1"/>
  <c r="P257" i="1"/>
  <c r="Q257" i="1" s="1"/>
  <c r="P258" i="1"/>
  <c r="Q258" i="1" s="1"/>
  <c r="P217" i="1"/>
  <c r="Q217" i="1" s="1"/>
</calcChain>
</file>

<file path=xl/sharedStrings.xml><?xml version="1.0" encoding="utf-8"?>
<sst xmlns="http://schemas.openxmlformats.org/spreadsheetml/2006/main" count="2572" uniqueCount="846">
  <si>
    <t>ISO-alpha2 Code</t>
  </si>
  <si>
    <t>ISO-alpha3 Code</t>
  </si>
  <si>
    <t>Africa</t>
  </si>
  <si>
    <t>Northern Africa</t>
  </si>
  <si>
    <t>Algeria</t>
  </si>
  <si>
    <t>DZ</t>
  </si>
  <si>
    <t>DZA</t>
  </si>
  <si>
    <t>Egypt</t>
  </si>
  <si>
    <t>EG</t>
  </si>
  <si>
    <t>EGY</t>
  </si>
  <si>
    <t>Libya</t>
  </si>
  <si>
    <t>LY</t>
  </si>
  <si>
    <t>LBY</t>
  </si>
  <si>
    <t>Morocco</t>
  </si>
  <si>
    <t>MA</t>
  </si>
  <si>
    <t>MAR</t>
  </si>
  <si>
    <t>Sudan</t>
  </si>
  <si>
    <t>SD</t>
  </si>
  <si>
    <t>SDN</t>
  </si>
  <si>
    <t>x</t>
  </si>
  <si>
    <t>Tunisia</t>
  </si>
  <si>
    <t>TN</t>
  </si>
  <si>
    <t>TUN</t>
  </si>
  <si>
    <t>Western Sahara</t>
  </si>
  <si>
    <t>EH</t>
  </si>
  <si>
    <t>ESH</t>
  </si>
  <si>
    <t>Sub-Saharan Africa</t>
  </si>
  <si>
    <t>Eastern Africa</t>
  </si>
  <si>
    <t>British Indian Ocean Territory</t>
  </si>
  <si>
    <t>IO</t>
  </si>
  <si>
    <t>IOT</t>
  </si>
  <si>
    <t>Burundi</t>
  </si>
  <si>
    <t>BI</t>
  </si>
  <si>
    <t>BDI</t>
  </si>
  <si>
    <t>Comoros</t>
  </si>
  <si>
    <t>KM</t>
  </si>
  <si>
    <t>COM</t>
  </si>
  <si>
    <t>Djibouti</t>
  </si>
  <si>
    <t>DJ</t>
  </si>
  <si>
    <t>DJI</t>
  </si>
  <si>
    <t>Eritrea</t>
  </si>
  <si>
    <t>ER</t>
  </si>
  <si>
    <t>ERI</t>
  </si>
  <si>
    <t>Ethiopia</t>
  </si>
  <si>
    <t>ET</t>
  </si>
  <si>
    <t>ETH</t>
  </si>
  <si>
    <t>French Southern Territories</t>
  </si>
  <si>
    <t>TF</t>
  </si>
  <si>
    <t>ATF</t>
  </si>
  <si>
    <t>Kenya</t>
  </si>
  <si>
    <t>KE</t>
  </si>
  <si>
    <t>KEN</t>
  </si>
  <si>
    <t>Madagascar</t>
  </si>
  <si>
    <t>MG</t>
  </si>
  <si>
    <t>MDG</t>
  </si>
  <si>
    <t>Malawi</t>
  </si>
  <si>
    <t>MW</t>
  </si>
  <si>
    <t>MWI</t>
  </si>
  <si>
    <t>Mauritius</t>
  </si>
  <si>
    <t>MU</t>
  </si>
  <si>
    <t>MUS</t>
  </si>
  <si>
    <t>Mayotte</t>
  </si>
  <si>
    <t>YT</t>
  </si>
  <si>
    <t>MYT</t>
  </si>
  <si>
    <t>Mozambique</t>
  </si>
  <si>
    <t>MZ</t>
  </si>
  <si>
    <t>MOZ</t>
  </si>
  <si>
    <t>Réunion</t>
  </si>
  <si>
    <t>RE</t>
  </si>
  <si>
    <t>REU</t>
  </si>
  <si>
    <t>Rwanda</t>
  </si>
  <si>
    <t>RW</t>
  </si>
  <si>
    <t>RWA</t>
  </si>
  <si>
    <t>Seychelles</t>
  </si>
  <si>
    <t>SC</t>
  </si>
  <si>
    <t>SYC</t>
  </si>
  <si>
    <t>Somalia</t>
  </si>
  <si>
    <t>SO</t>
  </si>
  <si>
    <t>SOM</t>
  </si>
  <si>
    <t>South Sudan</t>
  </si>
  <si>
    <t>SS</t>
  </si>
  <si>
    <t>SSD</t>
  </si>
  <si>
    <t>Uganda</t>
  </si>
  <si>
    <t>UG</t>
  </si>
  <si>
    <t>UGA</t>
  </si>
  <si>
    <t>United Republic of Tanzania</t>
  </si>
  <si>
    <t>TZ</t>
  </si>
  <si>
    <t>TZA</t>
  </si>
  <si>
    <t>Zambia</t>
  </si>
  <si>
    <t>ZM</t>
  </si>
  <si>
    <t>ZMB</t>
  </si>
  <si>
    <t>Zimbabwe</t>
  </si>
  <si>
    <t>ZW</t>
  </si>
  <si>
    <t>ZWE</t>
  </si>
  <si>
    <t>Middle Africa</t>
  </si>
  <si>
    <t>Angola</t>
  </si>
  <si>
    <t>AO</t>
  </si>
  <si>
    <t>AGO</t>
  </si>
  <si>
    <t>Cameroon</t>
  </si>
  <si>
    <t>CM</t>
  </si>
  <si>
    <t>CMR</t>
  </si>
  <si>
    <t>Central African Republic</t>
  </si>
  <si>
    <t>CF</t>
  </si>
  <si>
    <t>CAF</t>
  </si>
  <si>
    <t>Chad</t>
  </si>
  <si>
    <t>TD</t>
  </si>
  <si>
    <t>TCD</t>
  </si>
  <si>
    <t>Congo</t>
  </si>
  <si>
    <t>CG</t>
  </si>
  <si>
    <t>COG</t>
  </si>
  <si>
    <t>Democratic Republic of the Congo</t>
  </si>
  <si>
    <t>CD</t>
  </si>
  <si>
    <t>COD</t>
  </si>
  <si>
    <t>Equatorial Guinea</t>
  </si>
  <si>
    <t>GQ</t>
  </si>
  <si>
    <t>GNQ</t>
  </si>
  <si>
    <t>Gabon</t>
  </si>
  <si>
    <t>GA</t>
  </si>
  <si>
    <t>GAB</t>
  </si>
  <si>
    <t>Sao Tome and Principe</t>
  </si>
  <si>
    <t>ST</t>
  </si>
  <si>
    <t>STP</t>
  </si>
  <si>
    <t>Southern Africa</t>
  </si>
  <si>
    <t>Botswana</t>
  </si>
  <si>
    <t>BW</t>
  </si>
  <si>
    <t>BWA</t>
  </si>
  <si>
    <t>Eswatini</t>
  </si>
  <si>
    <t>SZ</t>
  </si>
  <si>
    <t>SWZ</t>
  </si>
  <si>
    <t>Lesotho</t>
  </si>
  <si>
    <t>LS</t>
  </si>
  <si>
    <t>LSO</t>
  </si>
  <si>
    <t>Namibia</t>
  </si>
  <si>
    <t>NA</t>
  </si>
  <si>
    <t>NAM</t>
  </si>
  <si>
    <t>South Africa</t>
  </si>
  <si>
    <t>ZA</t>
  </si>
  <si>
    <t>ZAF</t>
  </si>
  <si>
    <t>Western Africa</t>
  </si>
  <si>
    <t>Benin</t>
  </si>
  <si>
    <t>BJ</t>
  </si>
  <si>
    <t>BEN</t>
  </si>
  <si>
    <t>Burkina Faso</t>
  </si>
  <si>
    <t>BF</t>
  </si>
  <si>
    <t>BFA</t>
  </si>
  <si>
    <t>Cabo Verde</t>
  </si>
  <si>
    <t>CV</t>
  </si>
  <si>
    <t>CPV</t>
  </si>
  <si>
    <t>Côte d’Ivoire</t>
  </si>
  <si>
    <t>CI</t>
  </si>
  <si>
    <t>CIV</t>
  </si>
  <si>
    <t>Gambia</t>
  </si>
  <si>
    <t>GM</t>
  </si>
  <si>
    <t>GMB</t>
  </si>
  <si>
    <t>Ghana</t>
  </si>
  <si>
    <t>GH</t>
  </si>
  <si>
    <t>GHA</t>
  </si>
  <si>
    <t>Guinea</t>
  </si>
  <si>
    <t>GN</t>
  </si>
  <si>
    <t>GIN</t>
  </si>
  <si>
    <t>Guinea-Bissau</t>
  </si>
  <si>
    <t>GW</t>
  </si>
  <si>
    <t>GNB</t>
  </si>
  <si>
    <t>Liberia</t>
  </si>
  <si>
    <t>LR</t>
  </si>
  <si>
    <t>LBR</t>
  </si>
  <si>
    <t>Mali</t>
  </si>
  <si>
    <t>ML</t>
  </si>
  <si>
    <t>MLI</t>
  </si>
  <si>
    <t>Mauritania</t>
  </si>
  <si>
    <t>MR</t>
  </si>
  <si>
    <t>MRT</t>
  </si>
  <si>
    <t>Niger</t>
  </si>
  <si>
    <t>NE</t>
  </si>
  <si>
    <t>NER</t>
  </si>
  <si>
    <t>Nigeria</t>
  </si>
  <si>
    <t>NG</t>
  </si>
  <si>
    <t>NGA</t>
  </si>
  <si>
    <t>Saint Helena</t>
  </si>
  <si>
    <t>SH</t>
  </si>
  <si>
    <t>SHN</t>
  </si>
  <si>
    <t>Senegal</t>
  </si>
  <si>
    <t>SN</t>
  </si>
  <si>
    <t>SEN</t>
  </si>
  <si>
    <t>Sierra Leone</t>
  </si>
  <si>
    <t>SL</t>
  </si>
  <si>
    <t>SLE</t>
  </si>
  <si>
    <t>Togo</t>
  </si>
  <si>
    <t>TG</t>
  </si>
  <si>
    <t>TGO</t>
  </si>
  <si>
    <t>Americas</t>
  </si>
  <si>
    <t>Latin America and the Caribbean</t>
  </si>
  <si>
    <t>Caribbean</t>
  </si>
  <si>
    <t>Anguilla</t>
  </si>
  <si>
    <t>AI</t>
  </si>
  <si>
    <t>AIA</t>
  </si>
  <si>
    <t>Antigua and Barbuda</t>
  </si>
  <si>
    <t>AG</t>
  </si>
  <si>
    <t>ATG</t>
  </si>
  <si>
    <t>Aruba</t>
  </si>
  <si>
    <t>AW</t>
  </si>
  <si>
    <t>ABW</t>
  </si>
  <si>
    <t>Bahamas</t>
  </si>
  <si>
    <t>BS</t>
  </si>
  <si>
    <t>BHS</t>
  </si>
  <si>
    <t>Barbados</t>
  </si>
  <si>
    <t>BB</t>
  </si>
  <si>
    <t>BRB</t>
  </si>
  <si>
    <t>Bonaire, Sint Eustatius and Saba</t>
  </si>
  <si>
    <t>BQ</t>
  </si>
  <si>
    <t>BES</t>
  </si>
  <si>
    <t>British Virgin Islands</t>
  </si>
  <si>
    <t>VG</t>
  </si>
  <si>
    <t>VGB</t>
  </si>
  <si>
    <t>Cayman Islands</t>
  </si>
  <si>
    <t>KY</t>
  </si>
  <si>
    <t>CYM</t>
  </si>
  <si>
    <t>Cuba</t>
  </si>
  <si>
    <t>CU</t>
  </si>
  <si>
    <t>CUB</t>
  </si>
  <si>
    <t>Curaçao</t>
  </si>
  <si>
    <t>CW</t>
  </si>
  <si>
    <t>CUW</t>
  </si>
  <si>
    <t>Dominica</t>
  </si>
  <si>
    <t>DM</t>
  </si>
  <si>
    <t>DMA</t>
  </si>
  <si>
    <t>Dominican Republic</t>
  </si>
  <si>
    <t>DO</t>
  </si>
  <si>
    <t>DOM</t>
  </si>
  <si>
    <t>Grenada</t>
  </si>
  <si>
    <t>GD</t>
  </si>
  <si>
    <t>GRD</t>
  </si>
  <si>
    <t>Guadeloupe</t>
  </si>
  <si>
    <t>GP</t>
  </si>
  <si>
    <t>GLP</t>
  </si>
  <si>
    <t>Haiti</t>
  </si>
  <si>
    <t>HT</t>
  </si>
  <si>
    <t>HTI</t>
  </si>
  <si>
    <t>Jamaica</t>
  </si>
  <si>
    <t>JM</t>
  </si>
  <si>
    <t>JAM</t>
  </si>
  <si>
    <t>Martinique</t>
  </si>
  <si>
    <t>MQ</t>
  </si>
  <si>
    <t>MTQ</t>
  </si>
  <si>
    <t>Montserrat</t>
  </si>
  <si>
    <t>MS</t>
  </si>
  <si>
    <t>MSR</t>
  </si>
  <si>
    <t>Puerto Rico</t>
  </si>
  <si>
    <t>PR</t>
  </si>
  <si>
    <t>PRI</t>
  </si>
  <si>
    <t>Saint Barthélemy</t>
  </si>
  <si>
    <t>BL</t>
  </si>
  <si>
    <t>BLM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</si>
  <si>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</si>
  <si>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</si>
  <si>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</si>
  <si>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</si>
  <si>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</si>
  <si>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</si>
  <si>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</si>
  <si>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</si>
  <si>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</si>
  <si>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Vincent and the Grenadines</t>
  </si>
  <si>
    <t>VC</t>
  </si>
  <si>
    <t>VCT</t>
  </si>
  <si>
    <t>Sint Maarten (Dutch part)</t>
  </si>
  <si>
    <t>SX</t>
  </si>
  <si>
    <t>SXM</t>
  </si>
  <si>
    <t>Trinidad and Tobago</t>
  </si>
  <si>
    <t>TT</t>
  </si>
  <si>
    <t>TTO</t>
  </si>
  <si>
    <t>Turks and Caicos Islands</t>
  </si>
  <si>
    <t>TC</t>
  </si>
  <si>
    <t>TCA</t>
  </si>
  <si>
    <t>United States Virgin Islands</t>
  </si>
  <si>
    <t>VI</t>
  </si>
  <si>
    <t>VIR</t>
  </si>
  <si>
    <t>Central America</t>
  </si>
  <si>
    <t>Belize</t>
  </si>
  <si>
    <t>BZ</t>
  </si>
  <si>
    <t>BLZ</t>
  </si>
  <si>
    <t>Costa Rica</t>
  </si>
  <si>
    <t>CR</t>
  </si>
  <si>
    <t>CRI</t>
  </si>
  <si>
    <t>El Salvador</t>
  </si>
  <si>
    <t>SV</t>
  </si>
  <si>
    <t>SLV</t>
  </si>
  <si>
    <t>Guatemala</t>
  </si>
  <si>
    <t>GT</t>
  </si>
  <si>
    <t>GTM</t>
  </si>
  <si>
    <t>Honduras</t>
  </si>
  <si>
    <t>HN</t>
  </si>
  <si>
    <t>HND</t>
  </si>
  <si>
    <t>Mexico</t>
  </si>
  <si>
    <t>MX</t>
  </si>
  <si>
    <t>MEX</t>
  </si>
  <si>
    <t>Nicaragua</t>
  </si>
  <si>
    <t>NI</t>
  </si>
  <si>
    <t>NIC</t>
  </si>
  <si>
    <t>Panama</t>
  </si>
  <si>
    <t>PA</t>
  </si>
  <si>
    <t>PAN</t>
  </si>
  <si>
    <t>South America</t>
  </si>
  <si>
    <t>Argentina</t>
  </si>
  <si>
    <t>AR</t>
  </si>
  <si>
    <t>ARG</t>
  </si>
  <si>
    <t>Bolivia (Plurinational State of)</t>
  </si>
  <si>
    <t>BO</t>
  </si>
  <si>
    <t>BOL</t>
  </si>
  <si>
    <t>Bouvet Island</t>
  </si>
  <si>
    <t>BV</t>
  </si>
  <si>
    <t>BVT</t>
  </si>
  <si>
    <t>Brazil</t>
  </si>
  <si>
    <t>BR</t>
  </si>
  <si>
    <t>BRA</t>
  </si>
  <si>
    <t>Chile</t>
  </si>
  <si>
    <t>CL</t>
  </si>
  <si>
    <t>CHL</t>
  </si>
  <si>
    <t>Colombia</t>
  </si>
  <si>
    <t>CO</t>
  </si>
  <si>
    <t>COL</t>
  </si>
  <si>
    <t>Ecuador</t>
  </si>
  <si>
    <t>EC</t>
  </si>
  <si>
    <t>ECU</t>
  </si>
  <si>
    <t>Falkland Islands (Malvinas)</t>
  </si>
  <si>
    <t>FK</t>
  </si>
  <si>
    <t>FLK</t>
  </si>
  <si>
    <t>French Guiana</t>
  </si>
  <si>
    <t>GF</t>
  </si>
  <si>
    <t>GUF</t>
  </si>
  <si>
    <t>Guyana</t>
  </si>
  <si>
    <t>GY</t>
  </si>
  <si>
    <t>GUY</t>
  </si>
  <si>
    <t>Paraguay</t>
  </si>
  <si>
    <t>PY</t>
  </si>
  <si>
    <t>PRY</t>
  </si>
  <si>
    <t>Peru</t>
  </si>
  <si>
    <t>PE</t>
  </si>
  <si>
    <t>PER</t>
  </si>
  <si>
    <t>South Georgia and the South Sandwich Islands</t>
  </si>
  <si>
    <t>GS</t>
  </si>
  <si>
    <t>SGS</t>
  </si>
  <si>
    <t>Suriname</t>
  </si>
  <si>
    <t>SR</t>
  </si>
  <si>
    <t>SUR</t>
  </si>
  <si>
    <t>Uruguay</t>
  </si>
  <si>
    <t>UY</t>
  </si>
  <si>
    <t>URY</t>
  </si>
  <si>
    <t>Venezuela (Bolivarian Republic of)</t>
  </si>
  <si>
    <t>VE</t>
  </si>
  <si>
    <t>VEN</t>
  </si>
  <si>
    <t>Northern America</t>
  </si>
  <si>
    <t>Bermuda</t>
  </si>
  <si>
    <t>BM</t>
  </si>
  <si>
    <t>BMU</t>
  </si>
  <si>
    <t>Canada</t>
  </si>
  <si>
    <t>CA</t>
  </si>
  <si>
    <t>CAN</t>
  </si>
  <si>
    <t>Greenland</t>
  </si>
  <si>
    <t>GL</t>
  </si>
  <si>
    <t>GRL</t>
  </si>
  <si>
    <t>Saint Pierre and Miquelon</t>
  </si>
  <si>
    <t>PM</t>
  </si>
  <si>
    <t>SPM</t>
  </si>
  <si>
    <t>United States of America</t>
  </si>
  <si>
    <t>US</t>
  </si>
  <si>
    <t>USA</t>
  </si>
  <si>
    <t>Antarctica</t>
  </si>
  <si>
    <t>AQ</t>
  </si>
  <si>
    <t>ATA</t>
  </si>
  <si>
    <t>Asia</t>
  </si>
  <si>
    <t>Central Asia</t>
  </si>
  <si>
    <t>Kazakhstan</t>
  </si>
  <si>
    <t>KZ</t>
  </si>
  <si>
    <t>KAZ</t>
  </si>
  <si>
    <t>Kyrgyzstan</t>
  </si>
  <si>
    <t>KG</t>
  </si>
  <si>
    <t>KGZ</t>
  </si>
  <si>
    <t>Tajikistan</t>
  </si>
  <si>
    <t>TJ</t>
  </si>
  <si>
    <t>TJK</t>
  </si>
  <si>
    <t>Turkmenistan</t>
  </si>
  <si>
    <t>TM</t>
  </si>
  <si>
    <t>TKM</t>
  </si>
  <si>
    <t>Uzbekistan</t>
  </si>
  <si>
    <t>UZ</t>
  </si>
  <si>
    <t>UZB</t>
  </si>
  <si>
    <t>Eastern Asia</t>
  </si>
  <si>
    <t>China</t>
  </si>
  <si>
    <t>CN</t>
  </si>
  <si>
    <t>CHN</t>
  </si>
  <si>
    <t>China, Hong Kong Special Administrative Region</t>
  </si>
  <si>
    <t>HK</t>
  </si>
  <si>
    <t>HKG</t>
  </si>
  <si>
    <t>China, Macao Special Administrative Region</t>
  </si>
  <si>
    <t>MO</t>
  </si>
  <si>
    <t>MAC</t>
  </si>
  <si>
    <t>Democratic People's Republic of Korea</t>
  </si>
  <si>
    <t>KP</t>
  </si>
  <si>
    <t>PRK</t>
  </si>
  <si>
    <t>Japan</t>
  </si>
  <si>
    <t>JP</t>
  </si>
  <si>
    <t>JPN</t>
  </si>
  <si>
    <t>Mongolia</t>
  </si>
  <si>
    <t>MN</t>
  </si>
  <si>
    <t>MNG</t>
  </si>
  <si>
    <t>Republic of Korea</t>
  </si>
  <si>
    <t>KR</t>
  </si>
  <si>
    <t>KOR</t>
  </si>
  <si>
    <t>South-eastern Asia</t>
  </si>
  <si>
    <t>Brunei Darussalam</t>
  </si>
  <si>
    <t>BN</t>
  </si>
  <si>
    <t>BRN</t>
  </si>
  <si>
    <t>Cambodia</t>
  </si>
  <si>
    <t>KH</t>
  </si>
  <si>
    <t>KHM</t>
  </si>
  <si>
    <t>Indonesia</t>
  </si>
  <si>
    <t>ID</t>
  </si>
  <si>
    <t>IDN</t>
  </si>
  <si>
    <t>Lao People's Democratic Republic</t>
  </si>
  <si>
    <t>LA</t>
  </si>
  <si>
    <t>LAO</t>
  </si>
  <si>
    <t>Malaysia</t>
  </si>
  <si>
    <t>MY</t>
  </si>
  <si>
    <t>MYS</t>
  </si>
  <si>
    <t>Myanmar</t>
  </si>
  <si>
    <t>MM</t>
  </si>
  <si>
    <t>MMR</t>
  </si>
  <si>
    <t>Philippines</t>
  </si>
  <si>
    <t>PH</t>
  </si>
  <si>
    <t>PHL</t>
  </si>
  <si>
    <t>Singapore</t>
  </si>
  <si>
    <t>SG</t>
  </si>
  <si>
    <t>SGP</t>
  </si>
  <si>
    <t>Thailand</t>
  </si>
  <si>
    <t>TH</t>
  </si>
  <si>
    <t>THA</t>
  </si>
  <si>
    <t>Timor-Leste</t>
  </si>
  <si>
    <t>TL</t>
  </si>
  <si>
    <t>TLS</t>
  </si>
  <si>
    <t>Viet Nam</t>
  </si>
  <si>
    <t>VN</t>
  </si>
  <si>
    <t>VNM</t>
  </si>
  <si>
    <t>Southern Asia</t>
  </si>
  <si>
    <t>Afghanistan</t>
  </si>
  <si>
    <t>AF</t>
  </si>
  <si>
    <t>AFG</t>
  </si>
  <si>
    <t>Bangladesh</t>
  </si>
  <si>
    <t>BD</t>
  </si>
  <si>
    <t>BGD</t>
  </si>
  <si>
    <t>Bhutan</t>
  </si>
  <si>
    <t>BT</t>
  </si>
  <si>
    <t>BTN</t>
  </si>
  <si>
    <t>India</t>
  </si>
  <si>
    <t>IN</t>
  </si>
  <si>
    <t>IND</t>
  </si>
  <si>
    <t>Iran (Islamic Republic of)</t>
  </si>
  <si>
    <t>IR</t>
  </si>
  <si>
    <t>IRN</t>
  </si>
  <si>
    <t>Maldives</t>
  </si>
  <si>
    <t>MV</t>
  </si>
  <si>
    <t>MDV</t>
  </si>
  <si>
    <t>Nepal</t>
  </si>
  <si>
    <t>NP</t>
  </si>
  <si>
    <t>NPL</t>
  </si>
  <si>
    <t>Pakistan</t>
  </si>
  <si>
    <t>PK</t>
  </si>
  <si>
    <t>PAK</t>
  </si>
  <si>
    <t>Sri Lanka</t>
  </si>
  <si>
    <t>LK</t>
  </si>
  <si>
    <t>LKA</t>
  </si>
  <si>
    <t>Western Asia</t>
  </si>
  <si>
    <t>Armenia</t>
  </si>
  <si>
    <t>AM</t>
  </si>
  <si>
    <t>ARM</t>
  </si>
  <si>
    <t>Azerbaijan</t>
  </si>
  <si>
    <t>AZ</t>
  </si>
  <si>
    <t>AZE</t>
  </si>
  <si>
    <t>Bahrain</t>
  </si>
  <si>
    <t>BH</t>
  </si>
  <si>
    <t>BHR</t>
  </si>
  <si>
    <t>Cyprus</t>
  </si>
  <si>
    <t>CY</t>
  </si>
  <si>
    <t>CYP</t>
  </si>
  <si>
    <t>Georgia</t>
  </si>
  <si>
    <t>GE</t>
  </si>
  <si>
    <t>GEO</t>
  </si>
  <si>
    <t>Iraq</t>
  </si>
  <si>
    <t>IQ</t>
  </si>
  <si>
    <t>IRQ</t>
  </si>
  <si>
    <t>Israel</t>
  </si>
  <si>
    <t>IL</t>
  </si>
  <si>
    <t>ISR</t>
  </si>
  <si>
    <t>Jordan</t>
  </si>
  <si>
    <t>JO</t>
  </si>
  <si>
    <t>JOR</t>
  </si>
  <si>
    <t>Kuwait</t>
  </si>
  <si>
    <t>KW</t>
  </si>
  <si>
    <t>KWT</t>
  </si>
  <si>
    <t>Lebanon</t>
  </si>
  <si>
    <t>LB</t>
  </si>
  <si>
    <t>LBN</t>
  </si>
  <si>
    <t>Oman</t>
  </si>
  <si>
    <t>OM</t>
  </si>
  <si>
    <t>OMN</t>
  </si>
  <si>
    <t>Qatar</t>
  </si>
  <si>
    <t>QA</t>
  </si>
  <si>
    <t>QAT</t>
  </si>
  <si>
    <t>Saudi Arabia</t>
  </si>
  <si>
    <t>SA</t>
  </si>
  <si>
    <t>SAU</t>
  </si>
  <si>
    <t>PS</t>
  </si>
  <si>
    <t>PSE</t>
  </si>
  <si>
    <t>Syrian Arab Republic</t>
  </si>
  <si>
    <t>SY</t>
  </si>
  <si>
    <t>SYR</t>
  </si>
  <si>
    <t>Türkiye</t>
  </si>
  <si>
    <t>TR</t>
  </si>
  <si>
    <t>TUR</t>
  </si>
  <si>
    <t>United Arab Emirates</t>
  </si>
  <si>
    <t>AE</t>
  </si>
  <si>
    <t>ARE</t>
  </si>
  <si>
    <t>Yemen</t>
  </si>
  <si>
    <t>YE</t>
  </si>
  <si>
    <t>YEM</t>
  </si>
  <si>
    <t>Europe</t>
  </si>
  <si>
    <t>Eastern Europe</t>
  </si>
  <si>
    <t>Belarus</t>
  </si>
  <si>
    <t>BY</t>
  </si>
  <si>
    <t>BLR</t>
  </si>
  <si>
    <t>Bulgaria</t>
  </si>
  <si>
    <t>BG</t>
  </si>
  <si>
    <t>BGR</t>
  </si>
  <si>
    <t>Czechia</t>
  </si>
  <si>
    <t>CZ</t>
  </si>
  <si>
    <t>CZE</t>
  </si>
  <si>
    <t>Hungary</t>
  </si>
  <si>
    <t>HU</t>
  </si>
  <si>
    <t>HUN</t>
  </si>
  <si>
    <t>Poland</t>
  </si>
  <si>
    <t>PL</t>
  </si>
  <si>
    <t>POL</t>
  </si>
  <si>
    <t>Republic of Moldova</t>
  </si>
  <si>
    <t>MD</t>
  </si>
  <si>
    <t>MDA</t>
  </si>
  <si>
    <t>Romania</t>
  </si>
  <si>
    <t>RO</t>
  </si>
  <si>
    <t>ROU</t>
  </si>
  <si>
    <t>Russian Federation</t>
  </si>
  <si>
    <t>RU</t>
  </si>
  <si>
    <t>RUS</t>
  </si>
  <si>
    <t>Slovakia</t>
  </si>
  <si>
    <t>SK</t>
  </si>
  <si>
    <t>SVK</t>
  </si>
  <si>
    <t>Ukraine</t>
  </si>
  <si>
    <t>UA</t>
  </si>
  <si>
    <t>UKR</t>
  </si>
  <si>
    <t>Northern Europe</t>
  </si>
  <si>
    <t>Åland Islands</t>
  </si>
  <si>
    <t>AX</t>
  </si>
  <si>
    <t>ALA</t>
  </si>
  <si>
    <t>Denmark</t>
  </si>
  <si>
    <t>DK</t>
  </si>
  <si>
    <t>DNK</t>
  </si>
  <si>
    <t>Estonia</t>
  </si>
  <si>
    <t>EE</t>
  </si>
  <si>
    <t>EST</t>
  </si>
  <si>
    <t>Faroe Islands</t>
  </si>
  <si>
    <t>FO</t>
  </si>
  <si>
    <t>FRO</t>
  </si>
  <si>
    <t>Finland</t>
  </si>
  <si>
    <t>FI</t>
  </si>
  <si>
    <t>FIN</t>
  </si>
  <si>
    <t>Guernsey</t>
  </si>
  <si>
    <t>GG</t>
  </si>
  <si>
    <t>GGY</t>
  </si>
  <si>
    <t>Iceland</t>
  </si>
  <si>
    <t>IS</t>
  </si>
  <si>
    <t>ISL</t>
  </si>
  <si>
    <t>Ireland</t>
  </si>
  <si>
    <t>IE</t>
  </si>
  <si>
    <t>IRL</t>
  </si>
  <si>
    <t>Isle of Man</t>
  </si>
  <si>
    <t>IM</t>
  </si>
  <si>
    <t>IMN</t>
  </si>
  <si>
    <t>Jersey</t>
  </si>
  <si>
    <t>JE</t>
  </si>
  <si>
    <t>JEY</t>
  </si>
  <si>
    <t>Latvia</t>
  </si>
  <si>
    <t>LV</t>
  </si>
  <si>
    <t>LVA</t>
  </si>
  <si>
    <t>Lithuania</t>
  </si>
  <si>
    <t>LT</t>
  </si>
  <si>
    <t>LTU</t>
  </si>
  <si>
    <t>Norway</t>
  </si>
  <si>
    <t>NO</t>
  </si>
  <si>
    <t>NOR</t>
  </si>
  <si>
    <t>Svalbard and Jan Mayen Islands</t>
  </si>
  <si>
    <t>SJ</t>
  </si>
  <si>
    <t>SJM</t>
  </si>
  <si>
    <t>Sweden</t>
  </si>
  <si>
    <t>SE</t>
  </si>
  <si>
    <t>SWE</t>
  </si>
  <si>
    <t>United Kingdom of Great Britain and Northern Ireland</t>
  </si>
  <si>
    <t>GB</t>
  </si>
  <si>
    <t>GBR</t>
  </si>
  <si>
    <t>Southern Europe</t>
  </si>
  <si>
    <t>Albania</t>
  </si>
  <si>
    <t>AL</t>
  </si>
  <si>
    <t>ALB</t>
  </si>
  <si>
    <t>Andorra</t>
  </si>
  <si>
    <t>AD</t>
  </si>
  <si>
    <t>AND</t>
  </si>
  <si>
    <t>Bosnia and Herzegovina</t>
  </si>
  <si>
    <t>BA</t>
  </si>
  <si>
    <t>BIH</t>
  </si>
  <si>
    <t>Croatia</t>
  </si>
  <si>
    <t>HR</t>
  </si>
  <si>
    <t>HRV</t>
  </si>
  <si>
    <t>Gibraltar</t>
  </si>
  <si>
    <t>GI</t>
  </si>
  <si>
    <t>GIB</t>
  </si>
  <si>
    <t>Greece</t>
  </si>
  <si>
    <t>GR</t>
  </si>
  <si>
    <t>GRC</t>
  </si>
  <si>
    <t>Holy See</t>
  </si>
  <si>
    <t>VA</t>
  </si>
  <si>
    <t>VAT</t>
  </si>
  <si>
    <t>Italy</t>
  </si>
  <si>
    <t>IT</t>
  </si>
  <si>
    <t>ITA</t>
  </si>
  <si>
    <t>Malta</t>
  </si>
  <si>
    <t>MT</t>
  </si>
  <si>
    <t>MLT</t>
  </si>
  <si>
    <t>Montenegro</t>
  </si>
  <si>
    <t>ME</t>
  </si>
  <si>
    <t>MNE</t>
  </si>
  <si>
    <t>North Macedonia</t>
  </si>
  <si>
    <t>MK</t>
  </si>
  <si>
    <t>MKD</t>
  </si>
  <si>
    <t>Portugal</t>
  </si>
  <si>
    <t>PT</t>
  </si>
  <si>
    <t>PRT</t>
  </si>
  <si>
    <t>San Marino</t>
  </si>
  <si>
    <t>SM</t>
  </si>
  <si>
    <t>SMR</t>
  </si>
  <si>
    <t>Serbia</t>
  </si>
  <si>
    <t>RS</t>
  </si>
  <si>
    <t>SRB</t>
  </si>
  <si>
    <t>Slovenia</t>
  </si>
  <si>
    <t>SI</t>
  </si>
  <si>
    <t>SVN</t>
  </si>
  <si>
    <t>Spain</t>
  </si>
  <si>
    <t>ES</t>
  </si>
  <si>
    <t>ESP</t>
  </si>
  <si>
    <t>Western Europe</t>
  </si>
  <si>
    <t>Austria</t>
  </si>
  <si>
    <t>AT</t>
  </si>
  <si>
    <t>AUT</t>
  </si>
  <si>
    <t>Belgium</t>
  </si>
  <si>
    <t>BE</t>
  </si>
  <si>
    <t>BEL</t>
  </si>
  <si>
    <t>France</t>
  </si>
  <si>
    <t>FR</t>
  </si>
  <si>
    <t>FRA</t>
  </si>
  <si>
    <t>Germany</t>
  </si>
  <si>
    <t>DE</t>
  </si>
  <si>
    <t>DEU</t>
  </si>
  <si>
    <t>Liechtenstein</t>
  </si>
  <si>
    <t>LI</t>
  </si>
  <si>
    <t>LIE</t>
  </si>
  <si>
    <t>Luxembourg</t>
  </si>
  <si>
    <t>LU</t>
  </si>
  <si>
    <t>LUX</t>
  </si>
  <si>
    <t>Monaco</t>
  </si>
  <si>
    <t>MC</t>
  </si>
  <si>
    <t>MCO</t>
  </si>
  <si>
    <t>Netherlands (Kingdom of the)</t>
  </si>
  <si>
    <t>NL</t>
  </si>
  <si>
    <t>NLD</t>
  </si>
  <si>
    <t>Switzerland</t>
  </si>
  <si>
    <t>CH</t>
  </si>
  <si>
    <t>CHE</t>
  </si>
  <si>
    <t>Oceania</t>
  </si>
  <si>
    <t>Australia and New Zealand</t>
  </si>
  <si>
    <t>Australia</t>
  </si>
  <si>
    <t>AU</t>
  </si>
  <si>
    <t>AUS</t>
  </si>
  <si>
    <t>Christmas Island</t>
  </si>
  <si>
    <t>CX</t>
  </si>
  <si>
    <t>CXR</t>
  </si>
  <si>
    <t>Cocos (Keeling) Islands</t>
  </si>
  <si>
    <t>CC</t>
  </si>
  <si>
    <t>CCK</t>
  </si>
  <si>
    <t>Heard Island and McDonald Islands</t>
  </si>
  <si>
    <t>HM</t>
  </si>
  <si>
    <t>HMD</t>
  </si>
  <si>
    <t>New Zealand</t>
  </si>
  <si>
    <t>NZ</t>
  </si>
  <si>
    <t>NZL</t>
  </si>
  <si>
    <t>Norfolk Island</t>
  </si>
  <si>
    <t>NF</t>
  </si>
  <si>
    <t>NFK</t>
  </si>
  <si>
    <t>Melanesia</t>
  </si>
  <si>
    <t>Fiji</t>
  </si>
  <si>
    <t>FJ</t>
  </si>
  <si>
    <t>FJI</t>
  </si>
  <si>
    <t>New Caledonia</t>
  </si>
  <si>
    <t>NC</t>
  </si>
  <si>
    <t>NCL</t>
  </si>
  <si>
    <t>Papua New Guinea</t>
  </si>
  <si>
    <t>PG</t>
  </si>
  <si>
    <t>PNG</t>
  </si>
  <si>
    <t>Solomon Islands</t>
  </si>
  <si>
    <t>SB</t>
  </si>
  <si>
    <t>SLB</t>
  </si>
  <si>
    <t>Vanuatu</t>
  </si>
  <si>
    <t>VU</t>
  </si>
  <si>
    <t>VUT</t>
  </si>
  <si>
    <t>Micronesia</t>
  </si>
  <si>
    <t>Guam</t>
  </si>
  <si>
    <t>GU</t>
  </si>
  <si>
    <t>GUM</t>
  </si>
  <si>
    <t>Kiribati</t>
  </si>
  <si>
    <t>KI</t>
  </si>
  <si>
    <t>KIR</t>
  </si>
  <si>
    <t>Marshall Islands</t>
  </si>
  <si>
    <t>MH</t>
  </si>
  <si>
    <t>MHL</t>
  </si>
  <si>
    <t>Micronesia (Federated States of)</t>
  </si>
  <si>
    <t>FM</t>
  </si>
  <si>
    <t>FSM</t>
  </si>
  <si>
    <t>Nauru</t>
  </si>
  <si>
    <t>NR</t>
  </si>
  <si>
    <t>NRU</t>
  </si>
  <si>
    <t>Northern Mariana Islands</t>
  </si>
  <si>
    <t>MP</t>
  </si>
  <si>
    <t>MNP</t>
  </si>
  <si>
    <t>Palau</t>
  </si>
  <si>
    <t>PW</t>
  </si>
  <si>
    <t>PLW</t>
  </si>
  <si>
    <t>United States Minor Outlying Islands</t>
  </si>
  <si>
    <t>UM</t>
  </si>
  <si>
    <t>UMI</t>
  </si>
  <si>
    <t>Polynesia</t>
  </si>
  <si>
    <t>American Samoa</t>
  </si>
  <si>
    <t>AS</t>
  </si>
  <si>
    <t>ASM</t>
  </si>
  <si>
    <t>Cook Islands</t>
  </si>
  <si>
    <t>CK</t>
  </si>
  <si>
    <t>COK</t>
  </si>
  <si>
    <t>French Polynesia</t>
  </si>
  <si>
    <t>PF</t>
  </si>
  <si>
    <t>PYF</t>
  </si>
  <si>
    <t>Niue</t>
  </si>
  <si>
    <t>NU</t>
  </si>
  <si>
    <t>NIU</t>
  </si>
  <si>
    <t>Pitcairn</t>
  </si>
  <si>
    <t>PN</t>
  </si>
  <si>
    <t>PCN</t>
  </si>
  <si>
    <t>Samoa</t>
  </si>
  <si>
    <t>WS</t>
  </si>
  <si>
    <t>WSM</t>
  </si>
  <si>
    <t>Tokelau</t>
  </si>
  <si>
    <t>TK</t>
  </si>
  <si>
    <t>TKL</t>
  </si>
  <si>
    <t>Tonga</t>
  </si>
  <si>
    <t>TO</t>
  </si>
  <si>
    <t>TON</t>
  </si>
  <si>
    <t>Tuvalu</t>
  </si>
  <si>
    <t>TV</t>
  </si>
  <si>
    <t>TUV</t>
  </si>
  <si>
    <t>Wallis and Futuna Islands</t>
  </si>
  <si>
    <t>WF</t>
  </si>
  <si>
    <t>WLF</t>
  </si>
  <si>
    <t>M49 Region Code</t>
  </si>
  <si>
    <t>M49 Intermediate Region Code</t>
  </si>
  <si>
    <t>Continent</t>
  </si>
  <si>
    <t>North America</t>
  </si>
  <si>
    <t>Congo Basin</t>
  </si>
  <si>
    <t>Islands of the Indian Ocean</t>
  </si>
  <si>
    <t>East African Highlands</t>
  </si>
  <si>
    <t>Nile Basin</t>
  </si>
  <si>
    <t>South African Savannas &amp; (Semi)Deserts</t>
  </si>
  <si>
    <t>African West Coast &amp; Gulf of Guinea</t>
  </si>
  <si>
    <t>Niger Basin &amp; Lake Chad</t>
  </si>
  <si>
    <t>Arab Maghreb</t>
  </si>
  <si>
    <t>Australia &amp; New Zealand</t>
  </si>
  <si>
    <t>Micronesia, Polynesia &amp; Melanesia</t>
  </si>
  <si>
    <t>East Europe</t>
  </si>
  <si>
    <t>North-West Europe</t>
  </si>
  <si>
    <t>Mediderranean</t>
  </si>
  <si>
    <t>The Amazonas</t>
  </si>
  <si>
    <t>The Pampas</t>
  </si>
  <si>
    <t>The Andes</t>
  </si>
  <si>
    <t>Northern South America</t>
  </si>
  <si>
    <t>Altai, Pamir &amp; Tian Shan</t>
  </si>
  <si>
    <t>North-West Pacific (East Asia)</t>
  </si>
  <si>
    <t>Taiwan</t>
  </si>
  <si>
    <t>Arabian Peninsula &amp; Old Persia</t>
  </si>
  <si>
    <t>South East Asia</t>
  </si>
  <si>
    <t>Southern Himalayas</t>
  </si>
  <si>
    <t>The Levant &amp; Anatolia</t>
  </si>
  <si>
    <t>Occupier</t>
  </si>
  <si>
    <t>Azores Islands</t>
  </si>
  <si>
    <t>Canary Islands</t>
  </si>
  <si>
    <t>Geographic Subregion</t>
  </si>
  <si>
    <t>M49 Subregion Code</t>
  </si>
  <si>
    <t>M49 Subregion</t>
  </si>
  <si>
    <t>M49 Intermediate Region</t>
  </si>
  <si>
    <t>Distant Atlantic Islands</t>
  </si>
  <si>
    <t>M49 Region</t>
  </si>
  <si>
    <t>Country/Area</t>
  </si>
  <si>
    <t>M49 Country/Area Code</t>
  </si>
  <si>
    <t>XKX</t>
  </si>
  <si>
    <t>XK</t>
  </si>
  <si>
    <t>Kosovo*</t>
  </si>
  <si>
    <t>M49</t>
  </si>
  <si>
    <t>UN Sovereign States (bool)</t>
  </si>
  <si>
    <t>Assist</t>
  </si>
  <si>
    <t>UN Sovereign State</t>
  </si>
  <si>
    <t>State of Palestine</t>
  </si>
  <si>
    <t>Pop Data</t>
  </si>
  <si>
    <t>China, Hong Kong SAR</t>
  </si>
  <si>
    <t>China, Macao SAR</t>
  </si>
  <si>
    <t>Dem. People's Republic of Korea</t>
  </si>
  <si>
    <t>Kosovo (under UNSC res. 1244)</t>
  </si>
  <si>
    <t>Micronesia (Fed. States of)</t>
  </si>
  <si>
    <t>Netherlands</t>
  </si>
  <si>
    <t>Saint Martin (French part)</t>
  </si>
  <si>
    <t>United Kingdom</t>
  </si>
  <si>
    <t>China, Taiwan Province of China</t>
  </si>
  <si>
    <t>Côte d'Ivoire</t>
  </si>
  <si>
    <t>AZO</t>
  </si>
  <si>
    <t>SPI</t>
  </si>
  <si>
    <t>TWN</t>
  </si>
  <si>
    <t>Netherlands Antilles (historic)</t>
  </si>
  <si>
    <t>Serbia Montenegro (historic)</t>
  </si>
  <si>
    <t>Soviet Union (historic)</t>
  </si>
  <si>
    <t>Yugoslavia (historic)</t>
  </si>
  <si>
    <t>CSK</t>
  </si>
  <si>
    <t>ANT</t>
  </si>
  <si>
    <t>SCG</t>
  </si>
  <si>
    <t>SUN</t>
  </si>
  <si>
    <t>YUG</t>
  </si>
  <si>
    <t>Czechoslovakia (historic)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</si>
</sst>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1">
    <cellStyle name="Stand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F2B96-18CB-45D7-8E7D-6AE18353CBA2}" name="Tabelle1" displayName="Tabelle1" ref="A1:R258" totalsRowShown="0" headerRowDxfId="10">
  <autoFilter ref="A1:R258" xr:uid="{00000000-0001-0000-0000-000000000000}"/>
  <sortState xmlns:xlrd2="http://schemas.microsoft.com/office/spreadsheetml/2017/richdata2" ref="A2:R258">
    <sortCondition ref="K1:K258"/>
  </sortState>
  <tableColumns count="18">
    <tableColumn id="1" xr3:uid="{8DC8A5E6-5CB5-455D-BA15-31AEC14A54C5}" name="M49 Region Code" dataDxfId="9"/>
    <tableColumn id="2" xr3:uid="{B6943BFA-193C-40B8-B44F-4C1A97A0AAC3}" name="M49 Region"/>
    <tableColumn id="3" xr3:uid="{34F615AF-93F4-4D34-B6EE-D51F67DBAB4D}" name="Continent"/>
    <tableColumn id="4" xr3:uid="{F19021A5-1784-49FD-A8B1-34B7B933266D}" name="M49 Subregion Code" dataDxfId="8"/>
    <tableColumn id="5" xr3:uid="{6C9DEA31-E811-4C23-B55E-EBD695F2472B}" name="M49 Subregion"/>
    <tableColumn id="6" xr3:uid="{402ED0A9-1EA5-4001-8913-C13D56F5EF12}" name="M49 Intermediate Region Code" dataDxfId="7"/>
    <tableColumn id="7" xr3:uid="{D9C63778-5713-4439-BC7C-BE648FBE9FBB}" name="M49 Intermediate Region"/>
    <tableColumn id="8" xr3:uid="{72755315-FA98-474A-A36F-611FA893A4F8}" name="Geographic Subregion" dataDxfId="6"/>
    <tableColumn id="12" xr3:uid="{F4D6B531-89E7-4638-9C63-4263AB3084AF}" name="ISO-alpha3 Code" dataDxfId="5"/>
    <tableColumn id="9" xr3:uid="{0E6BCC5D-0A0A-40BC-89CD-EB10EF634F3D}" name="Country/Area"/>
    <tableColumn id="10" xr3:uid="{06A9D368-6678-48B0-9E4C-7F7BB9F7AB1E}" name="M49 Country/Area Code" dataDxfId="4"/>
    <tableColumn id="11" xr3:uid="{821252A1-E0D0-4EBA-AE1F-DF56D5DDD6C5}" name="ISO-alpha2 Code"/>
    <tableColumn id="13" xr3:uid="{BAF06E67-24B2-496C-9648-7FB315749EF7}" name="M49"/>
    <tableColumn id="16" xr3:uid="{33408CEA-99C9-48FC-8725-6F4FACED50D5}" name="UN Sovereign States (bool)" dataDxfId="3"/>
    <tableColumn id="17" xr3:uid="{5F4307CE-2A71-4304-A34A-0AF88A8849FD}" name="Occupier"/>
    <tableColumn id="14" xr3:uid="{2BF62FC2-3380-4C88-8AC7-6AEF51B2E96F}" name="Assist" dataDxfId="2">
      <calculatedColumnFormula>IF(Tabelle1[[#This Row],[UN Sovereign States (bool)]]="x", Tabelle1[[#This Row],[ISO-alpha3 Code]], Tabelle1[[#This Row],[Occupier]])</calculatedColumnFormula>
    </tableColumn>
    <tableColumn id="15" xr3:uid="{F9424B07-78F3-4C44-9B51-D11C09BC0F7F}" name="UN Sovereign State" dataDxfId="1">
      <calculatedColumnFormula>VLOOKUP(Tabelle1[[#This Row],[Assist]],Tabelle1[[ISO-alpha3 Code]:[Country/Area]],2,FALSE)</calculatedColumnFormula>
    </tableColumn>
    <tableColumn id="18" xr3:uid="{DFFCB14A-BB9A-4F38-A973-FF75EE5973FA}" name="Pop Data" dataDxfId="0">
      <calculatedColumnFormula>Tabelle1[[#This Row],[Country/Area]]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8"/>
  <sheetViews>
    <sheetView tabSelected="1" topLeftCell="H1" zoomScale="86" zoomScaleNormal="100" workbookViewId="0">
      <selection activeCell="J3" sqref="J3"/>
    </sheetView>
  </sheetViews>
  <sheetFormatPr baseColWidth="10" defaultRowHeight="14.5" x14ac:dyDescent="0.35"/>
  <cols>
    <col min="1" max="1" width="18.36328125" bestFit="1" customWidth="1"/>
    <col min="2" max="2" width="13.7265625" bestFit="1" customWidth="1"/>
    <col min="3" max="3" width="12.90625" bestFit="1" customWidth="1"/>
    <col min="4" max="4" width="21.08984375" bestFit="1" customWidth="1"/>
    <col min="5" max="5" width="28.1796875" customWidth="1"/>
    <col min="6" max="6" width="30.08984375" bestFit="1" customWidth="1"/>
    <col min="7" max="7" width="25.453125" bestFit="1" customWidth="1"/>
    <col min="8" max="8" width="34.453125" bestFit="1" customWidth="1"/>
    <col min="9" max="9" width="5.90625" customWidth="1"/>
    <col min="10" max="10" width="30.453125" customWidth="1"/>
    <col min="11" max="11" width="24.1796875" bestFit="1" customWidth="1"/>
    <col min="12" max="12" width="4.81640625" customWidth="1"/>
    <col min="14" max="14" width="5.90625" customWidth="1"/>
    <col min="15" max="15" width="20.81640625" bestFit="1" customWidth="1"/>
    <col min="16" max="16" width="11.08984375" bestFit="1" customWidth="1"/>
    <col min="17" max="17" width="45.90625" bestFit="1" customWidth="1"/>
    <col min="18" max="18" width="19.90625" customWidth="1"/>
  </cols>
  <sheetData>
    <row r="1" spans="1:18" x14ac:dyDescent="0.35">
      <c r="A1" s="1" t="s">
        <v>775</v>
      </c>
      <c r="B1" s="1" t="s">
        <v>811</v>
      </c>
      <c r="C1" s="1" t="s">
        <v>777</v>
      </c>
      <c r="D1" s="1" t="s">
        <v>807</v>
      </c>
      <c r="E1" s="1" t="s">
        <v>808</v>
      </c>
      <c r="F1" s="1" t="s">
        <v>776</v>
      </c>
      <c r="G1" s="1" t="s">
        <v>809</v>
      </c>
      <c r="H1" s="1" t="s">
        <v>806</v>
      </c>
      <c r="I1" s="1" t="s">
        <v>1</v>
      </c>
      <c r="J1" s="1" t="s">
        <v>812</v>
      </c>
      <c r="K1" s="1" t="s">
        <v>813</v>
      </c>
      <c r="L1" s="1" t="s">
        <v>0</v>
      </c>
      <c r="M1" s="1" t="s">
        <v>817</v>
      </c>
      <c r="N1" s="1" t="s">
        <v>818</v>
      </c>
      <c r="O1" s="1" t="s">
        <v>803</v>
      </c>
      <c r="P1" s="1" t="s">
        <v>819</v>
      </c>
      <c r="Q1" s="1" t="s">
        <v>820</v>
      </c>
      <c r="R1" s="1" t="s">
        <v>822</v>
      </c>
    </row>
    <row r="2" spans="1:18" x14ac:dyDescent="0.35">
      <c r="A2" s="2">
        <v>150</v>
      </c>
      <c r="B2" t="s">
        <v>525</v>
      </c>
      <c r="C2" t="s">
        <v>525</v>
      </c>
      <c r="D2" s="2">
        <v>39</v>
      </c>
      <c r="E2" t="s">
        <v>606</v>
      </c>
      <c r="F2" s="2">
        <v>39</v>
      </c>
      <c r="G2" t="s">
        <v>606</v>
      </c>
      <c r="H2" s="3" t="s">
        <v>791</v>
      </c>
      <c r="I2" s="3" t="s">
        <v>834</v>
      </c>
      <c r="J2" s="3" t="s">
        <v>805</v>
      </c>
      <c r="K2" s="2">
        <v>0</v>
      </c>
      <c r="O2" s="3" t="s">
        <v>654</v>
      </c>
      <c r="P2" t="str">
        <f>IF(Tabelle1[[#This Row],[UN Sovereign States (bool)]]="x", Tabelle1[[#This Row],[ISO-alpha3 Code]], Tabelle1[[#This Row],[Occupier]])</f>
        <v>ESP</v>
      </c>
      <c r="Q2" t="str">
        <f>VLOOKUP(Tabelle1[[#This Row],[Assist]],Tabelle1[[ISO-alpha3 Code]:[Country/Area]],2,FALSE)</f>
        <v>Spain</v>
      </c>
      <c r="R2" t="str">
        <f>Tabelle1[[#This Row],[Country/Area]]</f>
        <v>Canary Islands</v>
      </c>
    </row>
    <row r="3" spans="1:18" x14ac:dyDescent="0.35">
      <c r="A3">
        <v>150</v>
      </c>
      <c r="B3" t="s">
        <v>525</v>
      </c>
      <c r="C3" t="s">
        <v>525</v>
      </c>
      <c r="D3">
        <v>151</v>
      </c>
      <c r="E3" t="s">
        <v>526</v>
      </c>
      <c r="F3" s="2">
        <v>151</v>
      </c>
      <c r="G3" s="3" t="s">
        <v>526</v>
      </c>
      <c r="H3" s="4" t="s">
        <v>789</v>
      </c>
      <c r="I3" s="4" t="s">
        <v>840</v>
      </c>
      <c r="J3" s="3" t="s">
        <v>845</v>
      </c>
      <c r="K3" s="2">
        <v>0</v>
      </c>
      <c r="N3" s="3"/>
      <c r="P3">
        <f>IF(Tabelle1[[#This Row],[UN Sovereign States (bool)]]="x", Tabelle1[[#This Row],[ISO-alpha3 Code]], Tabelle1[[#This Row],[Occupier]])</f>
        <v>0</v>
      </c>
      <c r="Q3" t="e">
        <f>VLOOKUP(Tabelle1[[#This Row],[Assist]],Tabelle1[[ISO-alpha3 Code]:[Country/Area]],2,FALSE)</f>
        <v>#N/A</v>
      </c>
      <c r="R3" t="str">
        <f>Tabelle1[[#This Row],[Country/Area]]</f>
        <v>Czechoslovakia (historic)</v>
      </c>
    </row>
    <row r="4" spans="1:18" x14ac:dyDescent="0.35">
      <c r="A4" s="2">
        <v>19</v>
      </c>
      <c r="B4" t="s">
        <v>190</v>
      </c>
      <c r="C4" s="3" t="s">
        <v>302</v>
      </c>
      <c r="D4" s="2">
        <v>419</v>
      </c>
      <c r="E4" t="s">
        <v>191</v>
      </c>
      <c r="F4" s="2">
        <v>29</v>
      </c>
      <c r="G4" s="3" t="s">
        <v>192</v>
      </c>
      <c r="H4" s="4" t="s">
        <v>192</v>
      </c>
      <c r="I4" s="4" t="s">
        <v>841</v>
      </c>
      <c r="J4" s="3" t="s">
        <v>836</v>
      </c>
      <c r="K4" s="2">
        <v>0</v>
      </c>
      <c r="N4" s="3"/>
      <c r="P4">
        <f>IF(Tabelle1[[#This Row],[UN Sovereign States (bool)]]="x", Tabelle1[[#This Row],[ISO-alpha3 Code]], Tabelle1[[#This Row],[Occupier]])</f>
        <v>0</v>
      </c>
      <c r="Q4" t="e">
        <f>VLOOKUP(Tabelle1[[#This Row],[Assist]],Tabelle1[[ISO-alpha3 Code]:[Country/Area]],2,FALSE)</f>
        <v>#N/A</v>
      </c>
      <c r="R4" t="str">
        <f>Tabelle1[[#This Row],[Country/Area]]</f>
        <v>Netherlands Antilles (historic)</v>
      </c>
    </row>
    <row r="5" spans="1:18" x14ac:dyDescent="0.35">
      <c r="A5" s="2">
        <v>150</v>
      </c>
      <c r="B5" t="s">
        <v>525</v>
      </c>
      <c r="C5" t="s">
        <v>525</v>
      </c>
      <c r="D5" s="2">
        <v>39</v>
      </c>
      <c r="E5" t="s">
        <v>606</v>
      </c>
      <c r="F5" s="2">
        <v>39</v>
      </c>
      <c r="G5" s="3" t="s">
        <v>606</v>
      </c>
      <c r="H5" s="4" t="s">
        <v>791</v>
      </c>
      <c r="I5" s="4" t="s">
        <v>842</v>
      </c>
      <c r="J5" s="3" t="s">
        <v>837</v>
      </c>
      <c r="K5" s="2">
        <v>0</v>
      </c>
      <c r="N5" s="3"/>
      <c r="P5">
        <f>IF(Tabelle1[[#This Row],[UN Sovereign States (bool)]]="x", Tabelle1[[#This Row],[ISO-alpha3 Code]], Tabelle1[[#This Row],[Occupier]])</f>
        <v>0</v>
      </c>
      <c r="Q5" t="e">
        <f>VLOOKUP(Tabelle1[[#This Row],[Assist]],Tabelle1[[ISO-alpha3 Code]:[Country/Area]],2,FALSE)</f>
        <v>#N/A</v>
      </c>
      <c r="R5" t="str">
        <f>Tabelle1[[#This Row],[Country/Area]]</f>
        <v>Serbia Montenegro (historic)</v>
      </c>
    </row>
    <row r="6" spans="1:18" x14ac:dyDescent="0.35">
      <c r="A6">
        <v>150</v>
      </c>
      <c r="B6" t="s">
        <v>525</v>
      </c>
      <c r="C6" t="s">
        <v>525</v>
      </c>
      <c r="D6">
        <v>151</v>
      </c>
      <c r="E6" t="s">
        <v>526</v>
      </c>
      <c r="F6" s="2">
        <v>151</v>
      </c>
      <c r="G6" s="3" t="s">
        <v>526</v>
      </c>
      <c r="H6" s="4" t="s">
        <v>789</v>
      </c>
      <c r="I6" s="4" t="s">
        <v>843</v>
      </c>
      <c r="J6" s="3" t="s">
        <v>838</v>
      </c>
      <c r="K6" s="2">
        <v>0</v>
      </c>
      <c r="N6" s="3"/>
      <c r="P6">
        <f>IF(Tabelle1[[#This Row],[UN Sovereign States (bool)]]="x", Tabelle1[[#This Row],[ISO-alpha3 Code]], Tabelle1[[#This Row],[Occupier]])</f>
        <v>0</v>
      </c>
      <c r="Q6" t="e">
        <f>VLOOKUP(Tabelle1[[#This Row],[Assist]],Tabelle1[[ISO-alpha3 Code]:[Country/Area]],2,FALSE)</f>
        <v>#N/A</v>
      </c>
      <c r="R6" t="str">
        <f>Tabelle1[[#This Row],[Country/Area]]</f>
        <v>Soviet Union (historic)</v>
      </c>
    </row>
    <row r="7" spans="1:18" x14ac:dyDescent="0.35">
      <c r="A7" s="2">
        <v>150</v>
      </c>
      <c r="B7" t="s">
        <v>525</v>
      </c>
      <c r="C7" t="s">
        <v>525</v>
      </c>
      <c r="D7" s="2">
        <v>39</v>
      </c>
      <c r="E7" t="s">
        <v>606</v>
      </c>
      <c r="F7" s="2">
        <v>39</v>
      </c>
      <c r="G7" s="3" t="s">
        <v>606</v>
      </c>
      <c r="H7" s="4" t="s">
        <v>791</v>
      </c>
      <c r="I7" s="4" t="s">
        <v>844</v>
      </c>
      <c r="J7" s="3" t="s">
        <v>839</v>
      </c>
      <c r="K7" s="2">
        <v>0</v>
      </c>
      <c r="N7" s="3"/>
      <c r="P7">
        <f>IF(Tabelle1[[#This Row],[UN Sovereign States (bool)]]="x", Tabelle1[[#This Row],[ISO-alpha3 Code]], Tabelle1[[#This Row],[Occupier]])</f>
        <v>0</v>
      </c>
      <c r="Q7" t="e">
        <f>VLOOKUP(Tabelle1[[#This Row],[Assist]],Tabelle1[[ISO-alpha3 Code]:[Country/Area]],2,FALSE)</f>
        <v>#N/A</v>
      </c>
      <c r="R7" t="str">
        <f>Tabelle1[[#This Row],[Country/Area]]</f>
        <v>Yugoslavia (historic)</v>
      </c>
    </row>
    <row r="8" spans="1:18" x14ac:dyDescent="0.35">
      <c r="A8" s="2">
        <v>142</v>
      </c>
      <c r="B8" t="s">
        <v>370</v>
      </c>
      <c r="C8" t="s">
        <v>370</v>
      </c>
      <c r="D8" s="2">
        <v>34</v>
      </c>
      <c r="E8" t="s">
        <v>443</v>
      </c>
      <c r="F8" s="2">
        <v>34</v>
      </c>
      <c r="G8" t="s">
        <v>443</v>
      </c>
      <c r="H8" s="2" t="s">
        <v>799</v>
      </c>
      <c r="I8" t="s">
        <v>446</v>
      </c>
      <c r="J8" t="s">
        <v>444</v>
      </c>
      <c r="K8" s="2">
        <v>4</v>
      </c>
      <c r="L8" t="s">
        <v>445</v>
      </c>
      <c r="M8" s="3" t="s">
        <v>19</v>
      </c>
      <c r="N8" s="3" t="s">
        <v>19</v>
      </c>
      <c r="P8" t="str">
        <f>IF(Tabelle1[[#This Row],[UN Sovereign States (bool)]]="x", Tabelle1[[#This Row],[ISO-alpha3 Code]], Tabelle1[[#This Row],[Occupier]])</f>
        <v>AFG</v>
      </c>
      <c r="Q8" t="str">
        <f>VLOOKUP(Tabelle1[[#This Row],[Assist]],Tabelle1[[ISO-alpha3 Code]:[Country/Area]],2,FALSE)</f>
        <v>Afghanistan</v>
      </c>
      <c r="R8" t="str">
        <f>Tabelle1[[#This Row],[Country/Area]]</f>
        <v>Afghanistan</v>
      </c>
    </row>
    <row r="9" spans="1:18" x14ac:dyDescent="0.35">
      <c r="A9" s="2">
        <v>150</v>
      </c>
      <c r="B9" t="s">
        <v>525</v>
      </c>
      <c r="C9" t="s">
        <v>525</v>
      </c>
      <c r="D9" s="2">
        <v>39</v>
      </c>
      <c r="E9" t="s">
        <v>606</v>
      </c>
      <c r="F9" s="2">
        <v>39</v>
      </c>
      <c r="G9" t="s">
        <v>606</v>
      </c>
      <c r="H9" s="4" t="s">
        <v>791</v>
      </c>
      <c r="I9" t="s">
        <v>609</v>
      </c>
      <c r="J9" t="s">
        <v>607</v>
      </c>
      <c r="K9" s="2">
        <v>8</v>
      </c>
      <c r="L9" t="s">
        <v>608</v>
      </c>
      <c r="M9" s="3" t="s">
        <v>19</v>
      </c>
      <c r="N9" s="3" t="s">
        <v>19</v>
      </c>
      <c r="P9" t="str">
        <f>IF(Tabelle1[[#This Row],[UN Sovereign States (bool)]]="x", Tabelle1[[#This Row],[ISO-alpha3 Code]], Tabelle1[[#This Row],[Occupier]])</f>
        <v>ALB</v>
      </c>
      <c r="Q9" t="str">
        <f>VLOOKUP(Tabelle1[[#This Row],[Assist]],Tabelle1[[ISO-alpha3 Code]:[Country/Area]],2,FALSE)</f>
        <v>Albania</v>
      </c>
      <c r="R9" t="str">
        <f>Tabelle1[[#This Row],[Country/Area]]</f>
        <v>Albania</v>
      </c>
    </row>
    <row r="10" spans="1:18" x14ac:dyDescent="0.35">
      <c r="A10" s="2">
        <v>10</v>
      </c>
      <c r="B10" t="s">
        <v>367</v>
      </c>
      <c r="C10" t="s">
        <v>367</v>
      </c>
      <c r="D10" s="2">
        <v>10</v>
      </c>
      <c r="E10" t="s">
        <v>367</v>
      </c>
      <c r="F10" s="2">
        <v>10</v>
      </c>
      <c r="G10" t="s">
        <v>367</v>
      </c>
      <c r="H10" t="s">
        <v>367</v>
      </c>
      <c r="I10" t="s">
        <v>369</v>
      </c>
      <c r="J10" t="s">
        <v>367</v>
      </c>
      <c r="K10" s="2">
        <v>10</v>
      </c>
      <c r="L10" t="s">
        <v>368</v>
      </c>
      <c r="M10" s="3" t="s">
        <v>19</v>
      </c>
      <c r="N10" s="3"/>
      <c r="P10">
        <f>IF(Tabelle1[[#This Row],[UN Sovereign States (bool)]]="x", Tabelle1[[#This Row],[ISO-alpha3 Code]], Tabelle1[[#This Row],[Occupier]])</f>
        <v>0</v>
      </c>
      <c r="Q10" t="e">
        <f>VLOOKUP(Tabelle1[[#This Row],[Assist]],Tabelle1[[ISO-alpha3 Code]:[Country/Area]],2,FALSE)</f>
        <v>#N/A</v>
      </c>
      <c r="R10" t="str">
        <f>Tabelle1[[#This Row],[Country/Area]]</f>
        <v>Antarctica</v>
      </c>
    </row>
    <row r="11" spans="1:18" x14ac:dyDescent="0.35">
      <c r="A11" s="2">
        <v>2</v>
      </c>
      <c r="B11" t="s">
        <v>2</v>
      </c>
      <c r="C11" t="s">
        <v>2</v>
      </c>
      <c r="D11" s="2">
        <v>15</v>
      </c>
      <c r="E11" t="s">
        <v>3</v>
      </c>
      <c r="F11" s="2">
        <v>15</v>
      </c>
      <c r="G11" t="s">
        <v>3</v>
      </c>
      <c r="H11" s="2" t="s">
        <v>786</v>
      </c>
      <c r="I11" t="s">
        <v>6</v>
      </c>
      <c r="J11" t="s">
        <v>4</v>
      </c>
      <c r="K11" s="2">
        <v>12</v>
      </c>
      <c r="L11" t="s">
        <v>5</v>
      </c>
      <c r="M11" s="3" t="s">
        <v>19</v>
      </c>
      <c r="N11" s="3" t="s">
        <v>19</v>
      </c>
      <c r="P11" t="str">
        <f>IF(Tabelle1[[#This Row],[UN Sovereign States (bool)]]="x", Tabelle1[[#This Row],[ISO-alpha3 Code]], Tabelle1[[#This Row],[Occupier]])</f>
        <v>DZA</v>
      </c>
      <c r="Q11" t="str">
        <f>VLOOKUP(Tabelle1[[#This Row],[Assist]],Tabelle1[[ISO-alpha3 Code]:[Country/Area]],2,FALSE)</f>
        <v>Algeria</v>
      </c>
      <c r="R11" t="str">
        <f>Tabelle1[[#This Row],[Country/Area]]</f>
        <v>Algeria</v>
      </c>
    </row>
    <row r="12" spans="1:18" x14ac:dyDescent="0.35">
      <c r="A12" s="2">
        <v>9</v>
      </c>
      <c r="B12" t="s">
        <v>683</v>
      </c>
      <c r="C12" t="s">
        <v>683</v>
      </c>
      <c r="D12" s="2">
        <v>61</v>
      </c>
      <c r="E12" t="s">
        <v>744</v>
      </c>
      <c r="F12" s="2">
        <v>61</v>
      </c>
      <c r="G12" t="s">
        <v>744</v>
      </c>
      <c r="H12" s="2" t="s">
        <v>788</v>
      </c>
      <c r="I12" t="s">
        <v>747</v>
      </c>
      <c r="J12" t="s">
        <v>745</v>
      </c>
      <c r="K12" s="2">
        <v>16</v>
      </c>
      <c r="L12" t="s">
        <v>746</v>
      </c>
      <c r="M12" s="3" t="s">
        <v>19</v>
      </c>
      <c r="N12" s="3"/>
      <c r="O12" s="3" t="s">
        <v>366</v>
      </c>
      <c r="P12" t="str">
        <f>IF(Tabelle1[[#This Row],[UN Sovereign States (bool)]]="x", Tabelle1[[#This Row],[ISO-alpha3 Code]], Tabelle1[[#This Row],[Occupier]])</f>
        <v>USA</v>
      </c>
      <c r="Q12" t="str">
        <f>VLOOKUP(Tabelle1[[#This Row],[Assist]],Tabelle1[[ISO-alpha3 Code]:[Country/Area]],2,FALSE)</f>
        <v>United States of America</v>
      </c>
      <c r="R12" t="str">
        <f>Tabelle1[[#This Row],[Country/Area]]</f>
        <v>American Samoa</v>
      </c>
    </row>
    <row r="13" spans="1:18" x14ac:dyDescent="0.35">
      <c r="A13" s="2">
        <v>150</v>
      </c>
      <c r="B13" t="s">
        <v>525</v>
      </c>
      <c r="C13" t="s">
        <v>525</v>
      </c>
      <c r="D13" s="2">
        <v>39</v>
      </c>
      <c r="E13" t="s">
        <v>606</v>
      </c>
      <c r="F13" s="2">
        <v>39</v>
      </c>
      <c r="G13" t="s">
        <v>606</v>
      </c>
      <c r="H13" s="4" t="s">
        <v>790</v>
      </c>
      <c r="I13" t="s">
        <v>612</v>
      </c>
      <c r="J13" t="s">
        <v>610</v>
      </c>
      <c r="K13" s="2">
        <v>20</v>
      </c>
      <c r="L13" t="s">
        <v>611</v>
      </c>
      <c r="M13" s="3" t="s">
        <v>19</v>
      </c>
      <c r="N13" s="3" t="s">
        <v>19</v>
      </c>
      <c r="P13" t="str">
        <f>IF(Tabelle1[[#This Row],[UN Sovereign States (bool)]]="x", Tabelle1[[#This Row],[ISO-alpha3 Code]], Tabelle1[[#This Row],[Occupier]])</f>
        <v>AND</v>
      </c>
      <c r="Q13" t="str">
        <f>VLOOKUP(Tabelle1[[#This Row],[Assist]],Tabelle1[[ISO-alpha3 Code]:[Country/Area]],2,FALSE)</f>
        <v>Andorra</v>
      </c>
      <c r="R13" t="str">
        <f>Tabelle1[[#This Row],[Country/Area]]</f>
        <v>Andorra</v>
      </c>
    </row>
    <row r="14" spans="1:18" x14ac:dyDescent="0.35">
      <c r="A14" s="2">
        <v>2</v>
      </c>
      <c r="B14" t="s">
        <v>2</v>
      </c>
      <c r="C14" t="s">
        <v>2</v>
      </c>
      <c r="D14" s="2">
        <v>202</v>
      </c>
      <c r="E14" t="s">
        <v>26</v>
      </c>
      <c r="F14" s="2">
        <v>17</v>
      </c>
      <c r="G14" t="s">
        <v>94</v>
      </c>
      <c r="H14" s="2" t="s">
        <v>783</v>
      </c>
      <c r="I14" t="s">
        <v>97</v>
      </c>
      <c r="J14" t="s">
        <v>95</v>
      </c>
      <c r="K14" s="2">
        <v>24</v>
      </c>
      <c r="L14" t="s">
        <v>96</v>
      </c>
      <c r="M14" s="3" t="s">
        <v>19</v>
      </c>
      <c r="N14" s="3" t="s">
        <v>19</v>
      </c>
      <c r="P14" t="str">
        <f>IF(Tabelle1[[#This Row],[UN Sovereign States (bool)]]="x", Tabelle1[[#This Row],[ISO-alpha3 Code]], Tabelle1[[#This Row],[Occupier]])</f>
        <v>AGO</v>
      </c>
      <c r="Q14" t="str">
        <f>VLOOKUP(Tabelle1[[#This Row],[Assist]],Tabelle1[[ISO-alpha3 Code]:[Country/Area]],2,FALSE)</f>
        <v>Angola</v>
      </c>
      <c r="R14" t="str">
        <f>Tabelle1[[#This Row],[Country/Area]]</f>
        <v>Angola</v>
      </c>
    </row>
    <row r="15" spans="1:18" x14ac:dyDescent="0.35">
      <c r="A15" s="2">
        <v>19</v>
      </c>
      <c r="B15" t="s">
        <v>190</v>
      </c>
      <c r="C15" s="3" t="s">
        <v>778</v>
      </c>
      <c r="D15" s="2">
        <v>419</v>
      </c>
      <c r="E15" t="s">
        <v>191</v>
      </c>
      <c r="F15" s="2">
        <v>29</v>
      </c>
      <c r="G15" t="s">
        <v>192</v>
      </c>
      <c r="H15" t="s">
        <v>192</v>
      </c>
      <c r="I15" t="s">
        <v>198</v>
      </c>
      <c r="J15" t="s">
        <v>196</v>
      </c>
      <c r="K15" s="2">
        <v>28</v>
      </c>
      <c r="L15" t="s">
        <v>197</v>
      </c>
      <c r="M15" s="3" t="s">
        <v>19</v>
      </c>
      <c r="N15" s="3" t="s">
        <v>19</v>
      </c>
      <c r="P15" t="str">
        <f>IF(Tabelle1[[#This Row],[UN Sovereign States (bool)]]="x", Tabelle1[[#This Row],[ISO-alpha3 Code]], Tabelle1[[#This Row],[Occupier]])</f>
        <v>ATG</v>
      </c>
      <c r="Q15" t="str">
        <f>VLOOKUP(Tabelle1[[#This Row],[Assist]],Tabelle1[[ISO-alpha3 Code]:[Country/Area]],2,FALSE)</f>
        <v>Antigua and Barbuda</v>
      </c>
      <c r="R15" t="str">
        <f>Tabelle1[[#This Row],[Country/Area]]</f>
        <v>Antigua and Barbuda</v>
      </c>
    </row>
    <row r="16" spans="1:18" x14ac:dyDescent="0.35">
      <c r="A16" s="2">
        <v>142</v>
      </c>
      <c r="B16" t="s">
        <v>370</v>
      </c>
      <c r="C16" t="s">
        <v>370</v>
      </c>
      <c r="D16" s="2">
        <v>145</v>
      </c>
      <c r="E16" t="s">
        <v>471</v>
      </c>
      <c r="F16" s="2">
        <v>145</v>
      </c>
      <c r="G16" t="s">
        <v>471</v>
      </c>
      <c r="H16" s="2" t="s">
        <v>799</v>
      </c>
      <c r="I16" t="s">
        <v>477</v>
      </c>
      <c r="J16" t="s">
        <v>475</v>
      </c>
      <c r="K16" s="2">
        <v>31</v>
      </c>
      <c r="L16" t="s">
        <v>476</v>
      </c>
      <c r="M16" s="3" t="s">
        <v>19</v>
      </c>
      <c r="N16" s="3" t="s">
        <v>19</v>
      </c>
      <c r="P16" t="str">
        <f>IF(Tabelle1[[#This Row],[UN Sovereign States (bool)]]="x", Tabelle1[[#This Row],[ISO-alpha3 Code]], Tabelle1[[#This Row],[Occupier]])</f>
        <v>AZE</v>
      </c>
      <c r="Q16" t="str">
        <f>VLOOKUP(Tabelle1[[#This Row],[Assist]],Tabelle1[[ISO-alpha3 Code]:[Country/Area]],2,FALSE)</f>
        <v>Azerbaijan</v>
      </c>
      <c r="R16" t="str">
        <f>Tabelle1[[#This Row],[Country/Area]]</f>
        <v>Azerbaijan</v>
      </c>
    </row>
    <row r="17" spans="1:18" x14ac:dyDescent="0.35">
      <c r="A17" s="2">
        <v>19</v>
      </c>
      <c r="B17" t="s">
        <v>190</v>
      </c>
      <c r="C17" s="3" t="s">
        <v>302</v>
      </c>
      <c r="D17" s="2">
        <v>419</v>
      </c>
      <c r="E17" t="s">
        <v>191</v>
      </c>
      <c r="F17" s="2">
        <v>5</v>
      </c>
      <c r="G17" t="s">
        <v>302</v>
      </c>
      <c r="H17" s="2" t="s">
        <v>793</v>
      </c>
      <c r="I17" t="s">
        <v>305</v>
      </c>
      <c r="J17" t="s">
        <v>303</v>
      </c>
      <c r="K17" s="2">
        <v>32</v>
      </c>
      <c r="L17" t="s">
        <v>304</v>
      </c>
      <c r="M17" s="3" t="s">
        <v>19</v>
      </c>
      <c r="N17" s="3" t="s">
        <v>19</v>
      </c>
      <c r="P17" t="str">
        <f>IF(Tabelle1[[#This Row],[UN Sovereign States (bool)]]="x", Tabelle1[[#This Row],[ISO-alpha3 Code]], Tabelle1[[#This Row],[Occupier]])</f>
        <v>ARG</v>
      </c>
      <c r="Q17" t="str">
        <f>VLOOKUP(Tabelle1[[#This Row],[Assist]],Tabelle1[[ISO-alpha3 Code]:[Country/Area]],2,FALSE)</f>
        <v>Argentina</v>
      </c>
      <c r="R17" t="str">
        <f>Tabelle1[[#This Row],[Country/Area]]</f>
        <v>Argentina</v>
      </c>
    </row>
    <row r="18" spans="1:18" x14ac:dyDescent="0.35">
      <c r="A18" s="2">
        <v>9</v>
      </c>
      <c r="B18" t="s">
        <v>683</v>
      </c>
      <c r="C18" t="s">
        <v>683</v>
      </c>
      <c r="D18" s="2">
        <v>53</v>
      </c>
      <c r="E18" t="s">
        <v>684</v>
      </c>
      <c r="F18" s="2">
        <v>53</v>
      </c>
      <c r="G18" t="s">
        <v>684</v>
      </c>
      <c r="H18" s="3" t="s">
        <v>787</v>
      </c>
      <c r="I18" t="s">
        <v>687</v>
      </c>
      <c r="J18" t="s">
        <v>685</v>
      </c>
      <c r="K18" s="2">
        <v>36</v>
      </c>
      <c r="L18" t="s">
        <v>686</v>
      </c>
      <c r="M18" s="3" t="s">
        <v>19</v>
      </c>
      <c r="N18" s="3" t="s">
        <v>19</v>
      </c>
      <c r="P18" t="str">
        <f>IF(Tabelle1[[#This Row],[UN Sovereign States (bool)]]="x", Tabelle1[[#This Row],[ISO-alpha3 Code]], Tabelle1[[#This Row],[Occupier]])</f>
        <v>AUS</v>
      </c>
      <c r="Q18" t="str">
        <f>VLOOKUP(Tabelle1[[#This Row],[Assist]],Tabelle1[[ISO-alpha3 Code]:[Country/Area]],2,FALSE)</f>
        <v>Australia</v>
      </c>
      <c r="R18" t="str">
        <f>Tabelle1[[#This Row],[Country/Area]]</f>
        <v>Australia</v>
      </c>
    </row>
    <row r="19" spans="1:18" x14ac:dyDescent="0.35">
      <c r="A19" s="2">
        <v>150</v>
      </c>
      <c r="B19" t="s">
        <v>525</v>
      </c>
      <c r="C19" t="s">
        <v>525</v>
      </c>
      <c r="D19" s="2">
        <v>155</v>
      </c>
      <c r="E19" t="s">
        <v>655</v>
      </c>
      <c r="F19" s="2">
        <v>155</v>
      </c>
      <c r="G19" t="s">
        <v>655</v>
      </c>
      <c r="H19" s="4" t="s">
        <v>790</v>
      </c>
      <c r="I19" t="s">
        <v>658</v>
      </c>
      <c r="J19" t="s">
        <v>656</v>
      </c>
      <c r="K19" s="2">
        <v>40</v>
      </c>
      <c r="L19" t="s">
        <v>657</v>
      </c>
      <c r="M19" s="3" t="s">
        <v>19</v>
      </c>
      <c r="N19" s="3" t="s">
        <v>19</v>
      </c>
      <c r="P19" t="str">
        <f>IF(Tabelle1[[#This Row],[UN Sovereign States (bool)]]="x", Tabelle1[[#This Row],[ISO-alpha3 Code]], Tabelle1[[#This Row],[Occupier]])</f>
        <v>AUT</v>
      </c>
      <c r="Q19" t="str">
        <f>VLOOKUP(Tabelle1[[#This Row],[Assist]],Tabelle1[[ISO-alpha3 Code]:[Country/Area]],2,FALSE)</f>
        <v>Austria</v>
      </c>
      <c r="R19" t="str">
        <f>Tabelle1[[#This Row],[Country/Area]]</f>
        <v>Austria</v>
      </c>
    </row>
    <row r="20" spans="1:18" x14ac:dyDescent="0.35">
      <c r="A20" s="2">
        <v>19</v>
      </c>
      <c r="B20" t="s">
        <v>190</v>
      </c>
      <c r="C20" s="3" t="s">
        <v>778</v>
      </c>
      <c r="D20" s="2">
        <v>419</v>
      </c>
      <c r="E20" t="s">
        <v>191</v>
      </c>
      <c r="F20" s="2">
        <v>29</v>
      </c>
      <c r="G20" t="s">
        <v>192</v>
      </c>
      <c r="H20" t="s">
        <v>192</v>
      </c>
      <c r="I20" t="s">
        <v>204</v>
      </c>
      <c r="J20" t="s">
        <v>202</v>
      </c>
      <c r="K20" s="2">
        <v>44</v>
      </c>
      <c r="L20" t="s">
        <v>203</v>
      </c>
      <c r="M20" s="3" t="s">
        <v>19</v>
      </c>
      <c r="N20" s="3" t="s">
        <v>19</v>
      </c>
      <c r="P20" t="str">
        <f>IF(Tabelle1[[#This Row],[UN Sovereign States (bool)]]="x", Tabelle1[[#This Row],[ISO-alpha3 Code]], Tabelle1[[#This Row],[Occupier]])</f>
        <v>BHS</v>
      </c>
      <c r="Q20" t="str">
        <f>VLOOKUP(Tabelle1[[#This Row],[Assist]],Tabelle1[[ISO-alpha3 Code]:[Country/Area]],2,FALSE)</f>
        <v>Bahamas</v>
      </c>
      <c r="R20" t="str">
        <f>Tabelle1[[#This Row],[Country/Area]]</f>
        <v>Bahamas</v>
      </c>
    </row>
    <row r="21" spans="1:18" x14ac:dyDescent="0.35">
      <c r="A21" s="2">
        <v>142</v>
      </c>
      <c r="B21" t="s">
        <v>370</v>
      </c>
      <c r="C21" t="s">
        <v>370</v>
      </c>
      <c r="D21" s="2">
        <v>145</v>
      </c>
      <c r="E21" t="s">
        <v>471</v>
      </c>
      <c r="F21" s="2">
        <v>145</v>
      </c>
      <c r="G21" t="s">
        <v>471</v>
      </c>
      <c r="H21" s="2" t="s">
        <v>799</v>
      </c>
      <c r="I21" t="s">
        <v>480</v>
      </c>
      <c r="J21" t="s">
        <v>478</v>
      </c>
      <c r="K21" s="2">
        <v>48</v>
      </c>
      <c r="L21" t="s">
        <v>479</v>
      </c>
      <c r="M21" s="3" t="s">
        <v>19</v>
      </c>
      <c r="N21" s="3" t="s">
        <v>19</v>
      </c>
      <c r="P21" t="str">
        <f>IF(Tabelle1[[#This Row],[UN Sovereign States (bool)]]="x", Tabelle1[[#This Row],[ISO-alpha3 Code]], Tabelle1[[#This Row],[Occupier]])</f>
        <v>BHR</v>
      </c>
      <c r="Q21" t="str">
        <f>VLOOKUP(Tabelle1[[#This Row],[Assist]],Tabelle1[[ISO-alpha3 Code]:[Country/Area]],2,FALSE)</f>
        <v>Bahrain</v>
      </c>
      <c r="R21" t="str">
        <f>Tabelle1[[#This Row],[Country/Area]]</f>
        <v>Bahrain</v>
      </c>
    </row>
    <row r="22" spans="1:18" x14ac:dyDescent="0.35">
      <c r="A22" s="2">
        <v>142</v>
      </c>
      <c r="B22" t="s">
        <v>370</v>
      </c>
      <c r="C22" t="s">
        <v>370</v>
      </c>
      <c r="D22" s="2">
        <v>34</v>
      </c>
      <c r="E22" t="s">
        <v>443</v>
      </c>
      <c r="F22" s="2">
        <v>34</v>
      </c>
      <c r="G22" t="s">
        <v>443</v>
      </c>
      <c r="H22" s="2" t="s">
        <v>801</v>
      </c>
      <c r="I22" t="s">
        <v>449</v>
      </c>
      <c r="J22" t="s">
        <v>447</v>
      </c>
      <c r="K22" s="2">
        <v>50</v>
      </c>
      <c r="L22" t="s">
        <v>448</v>
      </c>
      <c r="M22" s="3" t="s">
        <v>19</v>
      </c>
      <c r="N22" s="3" t="s">
        <v>19</v>
      </c>
      <c r="P22" t="str">
        <f>IF(Tabelle1[[#This Row],[UN Sovereign States (bool)]]="x", Tabelle1[[#This Row],[ISO-alpha3 Code]], Tabelle1[[#This Row],[Occupier]])</f>
        <v>BGD</v>
      </c>
      <c r="Q22" t="str">
        <f>VLOOKUP(Tabelle1[[#This Row],[Assist]],Tabelle1[[ISO-alpha3 Code]:[Country/Area]],2,FALSE)</f>
        <v>Bangladesh</v>
      </c>
      <c r="R22" t="str">
        <f>Tabelle1[[#This Row],[Country/Area]]</f>
        <v>Bangladesh</v>
      </c>
    </row>
    <row r="23" spans="1:18" x14ac:dyDescent="0.35">
      <c r="A23" s="2">
        <v>142</v>
      </c>
      <c r="B23" t="s">
        <v>370</v>
      </c>
      <c r="C23" t="s">
        <v>370</v>
      </c>
      <c r="D23" s="2">
        <v>145</v>
      </c>
      <c r="E23" t="s">
        <v>471</v>
      </c>
      <c r="F23" s="2">
        <v>145</v>
      </c>
      <c r="G23" t="s">
        <v>471</v>
      </c>
      <c r="H23" s="2" t="s">
        <v>799</v>
      </c>
      <c r="I23" t="s">
        <v>474</v>
      </c>
      <c r="J23" t="s">
        <v>472</v>
      </c>
      <c r="K23" s="2">
        <v>51</v>
      </c>
      <c r="L23" t="s">
        <v>473</v>
      </c>
      <c r="M23" s="3" t="s">
        <v>19</v>
      </c>
      <c r="N23" s="3" t="s">
        <v>19</v>
      </c>
      <c r="P23" t="str">
        <f>IF(Tabelle1[[#This Row],[UN Sovereign States (bool)]]="x", Tabelle1[[#This Row],[ISO-alpha3 Code]], Tabelle1[[#This Row],[Occupier]])</f>
        <v>ARM</v>
      </c>
      <c r="Q23" t="str">
        <f>VLOOKUP(Tabelle1[[#This Row],[Assist]],Tabelle1[[ISO-alpha3 Code]:[Country/Area]],2,FALSE)</f>
        <v>Armenia</v>
      </c>
      <c r="R23" t="str">
        <f>Tabelle1[[#This Row],[Country/Area]]</f>
        <v>Armenia</v>
      </c>
    </row>
    <row r="24" spans="1:18" x14ac:dyDescent="0.35">
      <c r="A24" s="2">
        <v>19</v>
      </c>
      <c r="B24" t="s">
        <v>190</v>
      </c>
      <c r="C24" s="3" t="s">
        <v>778</v>
      </c>
      <c r="D24" s="2">
        <v>419</v>
      </c>
      <c r="E24" t="s">
        <v>191</v>
      </c>
      <c r="F24" s="2">
        <v>29</v>
      </c>
      <c r="G24" t="s">
        <v>192</v>
      </c>
      <c r="H24" t="s">
        <v>192</v>
      </c>
      <c r="I24" t="s">
        <v>207</v>
      </c>
      <c r="J24" t="s">
        <v>205</v>
      </c>
      <c r="K24" s="2">
        <v>52</v>
      </c>
      <c r="L24" t="s">
        <v>206</v>
      </c>
      <c r="M24" s="3" t="s">
        <v>19</v>
      </c>
      <c r="N24" s="3" t="s">
        <v>19</v>
      </c>
      <c r="P24" t="str">
        <f>IF(Tabelle1[[#This Row],[UN Sovereign States (bool)]]="x", Tabelle1[[#This Row],[ISO-alpha3 Code]], Tabelle1[[#This Row],[Occupier]])</f>
        <v>BRB</v>
      </c>
      <c r="Q24" t="str">
        <f>VLOOKUP(Tabelle1[[#This Row],[Assist]],Tabelle1[[ISO-alpha3 Code]:[Country/Area]],2,FALSE)</f>
        <v>Barbados</v>
      </c>
      <c r="R24" t="str">
        <f>Tabelle1[[#This Row],[Country/Area]]</f>
        <v>Barbados</v>
      </c>
    </row>
    <row r="25" spans="1:18" x14ac:dyDescent="0.35">
      <c r="A25" s="2">
        <v>150</v>
      </c>
      <c r="B25" t="s">
        <v>525</v>
      </c>
      <c r="C25" t="s">
        <v>525</v>
      </c>
      <c r="D25" s="2">
        <v>155</v>
      </c>
      <c r="E25" t="s">
        <v>655</v>
      </c>
      <c r="F25" s="2">
        <v>155</v>
      </c>
      <c r="G25" t="s">
        <v>655</v>
      </c>
      <c r="H25" s="4" t="s">
        <v>790</v>
      </c>
      <c r="I25" t="s">
        <v>661</v>
      </c>
      <c r="J25" t="s">
        <v>659</v>
      </c>
      <c r="K25" s="2">
        <v>56</v>
      </c>
      <c r="L25" t="s">
        <v>660</v>
      </c>
      <c r="M25" s="3" t="s">
        <v>19</v>
      </c>
      <c r="N25" s="3" t="s">
        <v>19</v>
      </c>
      <c r="P25" t="str">
        <f>IF(Tabelle1[[#This Row],[UN Sovereign States (bool)]]="x", Tabelle1[[#This Row],[ISO-alpha3 Code]], Tabelle1[[#This Row],[Occupier]])</f>
        <v>BEL</v>
      </c>
      <c r="Q25" t="str">
        <f>VLOOKUP(Tabelle1[[#This Row],[Assist]],Tabelle1[[ISO-alpha3 Code]:[Country/Area]],2,FALSE)</f>
        <v>Belgium</v>
      </c>
      <c r="R25" t="str">
        <f>Tabelle1[[#This Row],[Country/Area]]</f>
        <v>Belgium</v>
      </c>
    </row>
    <row r="26" spans="1:18" x14ac:dyDescent="0.35">
      <c r="A26" s="2">
        <v>19</v>
      </c>
      <c r="B26" t="s">
        <v>190</v>
      </c>
      <c r="C26" s="3" t="s">
        <v>778</v>
      </c>
      <c r="D26" s="2">
        <v>21</v>
      </c>
      <c r="E26" t="s">
        <v>351</v>
      </c>
      <c r="F26" s="2">
        <v>21</v>
      </c>
      <c r="G26" t="s">
        <v>351</v>
      </c>
      <c r="H26" s="2" t="s">
        <v>778</v>
      </c>
      <c r="I26" t="s">
        <v>354</v>
      </c>
      <c r="J26" t="s">
        <v>352</v>
      </c>
      <c r="K26" s="2">
        <v>60</v>
      </c>
      <c r="L26" t="s">
        <v>353</v>
      </c>
      <c r="M26" s="3" t="s">
        <v>19</v>
      </c>
      <c r="N26" s="3"/>
      <c r="O26" s="3" t="s">
        <v>605</v>
      </c>
      <c r="P26" t="str">
        <f>IF(Tabelle1[[#This Row],[UN Sovereign States (bool)]]="x", Tabelle1[[#This Row],[ISO-alpha3 Code]], Tabelle1[[#This Row],[Occupier]])</f>
        <v>GBR</v>
      </c>
      <c r="Q26" t="str">
        <f>VLOOKUP(Tabelle1[[#This Row],[Assist]],Tabelle1[[ISO-alpha3 Code]:[Country/Area]],2,FALSE)</f>
        <v>United Kingdom of Great Britain and Northern Ireland</v>
      </c>
      <c r="R26" t="str">
        <f>Tabelle1[[#This Row],[Country/Area]]</f>
        <v>Bermuda</v>
      </c>
    </row>
    <row r="27" spans="1:18" x14ac:dyDescent="0.35">
      <c r="A27" s="2">
        <v>142</v>
      </c>
      <c r="B27" t="s">
        <v>370</v>
      </c>
      <c r="C27" t="s">
        <v>370</v>
      </c>
      <c r="D27" s="2">
        <v>34</v>
      </c>
      <c r="E27" t="s">
        <v>443</v>
      </c>
      <c r="F27" s="2">
        <v>34</v>
      </c>
      <c r="G27" t="s">
        <v>443</v>
      </c>
      <c r="H27" s="2" t="s">
        <v>801</v>
      </c>
      <c r="I27" t="s">
        <v>452</v>
      </c>
      <c r="J27" t="s">
        <v>450</v>
      </c>
      <c r="K27" s="2">
        <v>64</v>
      </c>
      <c r="L27" t="s">
        <v>451</v>
      </c>
      <c r="M27" s="3" t="s">
        <v>19</v>
      </c>
      <c r="N27" s="3" t="s">
        <v>19</v>
      </c>
      <c r="P27" t="str">
        <f>IF(Tabelle1[[#This Row],[UN Sovereign States (bool)]]="x", Tabelle1[[#This Row],[ISO-alpha3 Code]], Tabelle1[[#This Row],[Occupier]])</f>
        <v>BTN</v>
      </c>
      <c r="Q27" t="str">
        <f>VLOOKUP(Tabelle1[[#This Row],[Assist]],Tabelle1[[ISO-alpha3 Code]:[Country/Area]],2,FALSE)</f>
        <v>Bhutan</v>
      </c>
      <c r="R27" t="str">
        <f>Tabelle1[[#This Row],[Country/Area]]</f>
        <v>Bhutan</v>
      </c>
    </row>
    <row r="28" spans="1:18" x14ac:dyDescent="0.35">
      <c r="A28" s="2">
        <v>19</v>
      </c>
      <c r="B28" t="s">
        <v>190</v>
      </c>
      <c r="C28" s="3" t="s">
        <v>302</v>
      </c>
      <c r="D28" s="2">
        <v>419</v>
      </c>
      <c r="E28" t="s">
        <v>191</v>
      </c>
      <c r="F28" s="2">
        <v>5</v>
      </c>
      <c r="G28" t="s">
        <v>302</v>
      </c>
      <c r="H28" s="2" t="s">
        <v>792</v>
      </c>
      <c r="I28" t="s">
        <v>308</v>
      </c>
      <c r="J28" t="s">
        <v>306</v>
      </c>
      <c r="K28" s="2">
        <v>68</v>
      </c>
      <c r="L28" t="s">
        <v>307</v>
      </c>
      <c r="M28" s="3" t="s">
        <v>19</v>
      </c>
      <c r="N28" s="3" t="s">
        <v>19</v>
      </c>
      <c r="P28" t="str">
        <f>IF(Tabelle1[[#This Row],[UN Sovereign States (bool)]]="x", Tabelle1[[#This Row],[ISO-alpha3 Code]], Tabelle1[[#This Row],[Occupier]])</f>
        <v>BOL</v>
      </c>
      <c r="Q28" t="str">
        <f>VLOOKUP(Tabelle1[[#This Row],[Assist]],Tabelle1[[ISO-alpha3 Code]:[Country/Area]],2,FALSE)</f>
        <v>Bolivia (Plurinational State of)</v>
      </c>
      <c r="R28" t="str">
        <f>Tabelle1[[#This Row],[Country/Area]]</f>
        <v>Bolivia (Plurinational State of)</v>
      </c>
    </row>
    <row r="29" spans="1:18" x14ac:dyDescent="0.35">
      <c r="A29" s="2">
        <v>150</v>
      </c>
      <c r="B29" t="s">
        <v>525</v>
      </c>
      <c r="C29" t="s">
        <v>525</v>
      </c>
      <c r="D29" s="2">
        <v>39</v>
      </c>
      <c r="E29" t="s">
        <v>606</v>
      </c>
      <c r="F29" s="2">
        <v>39</v>
      </c>
      <c r="G29" t="s">
        <v>606</v>
      </c>
      <c r="H29" s="4" t="s">
        <v>791</v>
      </c>
      <c r="I29" t="s">
        <v>615</v>
      </c>
      <c r="J29" t="s">
        <v>613</v>
      </c>
      <c r="K29" s="2">
        <v>70</v>
      </c>
      <c r="L29" t="s">
        <v>614</v>
      </c>
      <c r="M29" s="3" t="s">
        <v>19</v>
      </c>
      <c r="N29" s="3" t="s">
        <v>19</v>
      </c>
      <c r="P29" t="str">
        <f>IF(Tabelle1[[#This Row],[UN Sovereign States (bool)]]="x", Tabelle1[[#This Row],[ISO-alpha3 Code]], Tabelle1[[#This Row],[Occupier]])</f>
        <v>BIH</v>
      </c>
      <c r="Q29" t="str">
        <f>VLOOKUP(Tabelle1[[#This Row],[Assist]],Tabelle1[[ISO-alpha3 Code]:[Country/Area]],2,FALSE)</f>
        <v>Bosnia and Herzegovina</v>
      </c>
      <c r="R29" t="str">
        <f>Tabelle1[[#This Row],[Country/Area]]</f>
        <v>Bosnia and Herzegovina</v>
      </c>
    </row>
    <row r="30" spans="1:18" x14ac:dyDescent="0.35">
      <c r="A30" s="2">
        <v>2</v>
      </c>
      <c r="B30" t="s">
        <v>2</v>
      </c>
      <c r="C30" t="s">
        <v>2</v>
      </c>
      <c r="D30" s="2">
        <v>202</v>
      </c>
      <c r="E30" t="s">
        <v>26</v>
      </c>
      <c r="F30" s="2">
        <v>18</v>
      </c>
      <c r="G30" t="s">
        <v>122</v>
      </c>
      <c r="H30" s="2" t="s">
        <v>783</v>
      </c>
      <c r="I30" t="s">
        <v>125</v>
      </c>
      <c r="J30" t="s">
        <v>123</v>
      </c>
      <c r="K30" s="2">
        <v>72</v>
      </c>
      <c r="L30" t="s">
        <v>124</v>
      </c>
      <c r="M30" s="3" t="s">
        <v>19</v>
      </c>
      <c r="N30" s="3" t="s">
        <v>19</v>
      </c>
      <c r="P30" t="str">
        <f>IF(Tabelle1[[#This Row],[UN Sovereign States (bool)]]="x", Tabelle1[[#This Row],[ISO-alpha3 Code]], Tabelle1[[#This Row],[Occupier]])</f>
        <v>BWA</v>
      </c>
      <c r="Q30" t="str">
        <f>VLOOKUP(Tabelle1[[#This Row],[Assist]],Tabelle1[[ISO-alpha3 Code]:[Country/Area]],2,FALSE)</f>
        <v>Botswana</v>
      </c>
      <c r="R30" t="str">
        <f>Tabelle1[[#This Row],[Country/Area]]</f>
        <v>Botswana</v>
      </c>
    </row>
    <row r="31" spans="1:18" x14ac:dyDescent="0.35">
      <c r="A31" s="2">
        <v>19</v>
      </c>
      <c r="B31" t="s">
        <v>190</v>
      </c>
      <c r="C31" s="3" t="s">
        <v>302</v>
      </c>
      <c r="D31" s="2">
        <v>419</v>
      </c>
      <c r="E31" t="s">
        <v>191</v>
      </c>
      <c r="F31" s="2">
        <v>5</v>
      </c>
      <c r="G31" t="s">
        <v>302</v>
      </c>
      <c r="H31" s="4" t="s">
        <v>810</v>
      </c>
      <c r="I31" t="s">
        <v>311</v>
      </c>
      <c r="J31" t="s">
        <v>309</v>
      </c>
      <c r="K31" s="2">
        <v>74</v>
      </c>
      <c r="L31" t="s">
        <v>310</v>
      </c>
      <c r="M31" s="3" t="s">
        <v>19</v>
      </c>
      <c r="N31" s="3"/>
      <c r="O31" s="3" t="s">
        <v>596</v>
      </c>
      <c r="P31" t="str">
        <f>IF(Tabelle1[[#This Row],[UN Sovereign States (bool)]]="x", Tabelle1[[#This Row],[ISO-alpha3 Code]], Tabelle1[[#This Row],[Occupier]])</f>
        <v>NOR</v>
      </c>
      <c r="Q31" t="str">
        <f>VLOOKUP(Tabelle1[[#This Row],[Assist]],Tabelle1[[ISO-alpha3 Code]:[Country/Area]],2,FALSE)</f>
        <v>Norway</v>
      </c>
      <c r="R31" t="str">
        <f>Tabelle1[[#This Row],[Country/Area]]</f>
        <v>Bouvet Island</v>
      </c>
    </row>
    <row r="32" spans="1:18" x14ac:dyDescent="0.35">
      <c r="A32" s="2">
        <v>19</v>
      </c>
      <c r="B32" t="s">
        <v>190</v>
      </c>
      <c r="C32" s="3" t="s">
        <v>302</v>
      </c>
      <c r="D32" s="2">
        <v>419</v>
      </c>
      <c r="E32" t="s">
        <v>191</v>
      </c>
      <c r="F32" s="2">
        <v>5</v>
      </c>
      <c r="G32" t="s">
        <v>302</v>
      </c>
      <c r="H32" s="2" t="s">
        <v>792</v>
      </c>
      <c r="I32" t="s">
        <v>314</v>
      </c>
      <c r="J32" t="s">
        <v>312</v>
      </c>
      <c r="K32" s="2">
        <v>76</v>
      </c>
      <c r="L32" t="s">
        <v>313</v>
      </c>
      <c r="M32" s="3" t="s">
        <v>19</v>
      </c>
      <c r="N32" s="3" t="s">
        <v>19</v>
      </c>
      <c r="P32" t="str">
        <f>IF(Tabelle1[[#This Row],[UN Sovereign States (bool)]]="x", Tabelle1[[#This Row],[ISO-alpha3 Code]], Tabelle1[[#This Row],[Occupier]])</f>
        <v>BRA</v>
      </c>
      <c r="Q32" t="str">
        <f>VLOOKUP(Tabelle1[[#This Row],[Assist]],Tabelle1[[ISO-alpha3 Code]:[Country/Area]],2,FALSE)</f>
        <v>Brazil</v>
      </c>
      <c r="R32" t="str">
        <f>Tabelle1[[#This Row],[Country/Area]]</f>
        <v>Brazil</v>
      </c>
    </row>
    <row r="33" spans="1:18" x14ac:dyDescent="0.35">
      <c r="A33" s="2">
        <v>19</v>
      </c>
      <c r="B33" t="s">
        <v>190</v>
      </c>
      <c r="C33" s="3" t="s">
        <v>302</v>
      </c>
      <c r="D33" s="2">
        <v>419</v>
      </c>
      <c r="E33" t="s">
        <v>191</v>
      </c>
      <c r="F33" s="2">
        <v>13</v>
      </c>
      <c r="G33" t="s">
        <v>277</v>
      </c>
      <c r="H33" s="4" t="s">
        <v>277</v>
      </c>
      <c r="I33" t="s">
        <v>280</v>
      </c>
      <c r="J33" t="s">
        <v>278</v>
      </c>
      <c r="K33" s="2">
        <v>84</v>
      </c>
      <c r="L33" t="s">
        <v>279</v>
      </c>
      <c r="M33" s="3" t="s">
        <v>19</v>
      </c>
      <c r="N33" s="3" t="s">
        <v>19</v>
      </c>
      <c r="P33" t="str">
        <f>IF(Tabelle1[[#This Row],[UN Sovereign States (bool)]]="x", Tabelle1[[#This Row],[ISO-alpha3 Code]], Tabelle1[[#This Row],[Occupier]])</f>
        <v>BLZ</v>
      </c>
      <c r="Q33" t="str">
        <f>VLOOKUP(Tabelle1[[#This Row],[Assist]],Tabelle1[[ISO-alpha3 Code]:[Country/Area]],2,FALSE)</f>
        <v>Belize</v>
      </c>
      <c r="R33" t="str">
        <f>Tabelle1[[#This Row],[Country/Area]]</f>
        <v>Belize</v>
      </c>
    </row>
    <row r="34" spans="1:18" x14ac:dyDescent="0.35">
      <c r="A34" s="2">
        <v>2</v>
      </c>
      <c r="B34" t="s">
        <v>2</v>
      </c>
      <c r="C34" t="s">
        <v>2</v>
      </c>
      <c r="D34" s="2">
        <v>202</v>
      </c>
      <c r="E34" t="s">
        <v>26</v>
      </c>
      <c r="F34" s="2">
        <v>14</v>
      </c>
      <c r="G34" t="s">
        <v>27</v>
      </c>
      <c r="H34" s="2" t="s">
        <v>780</v>
      </c>
      <c r="I34" t="s">
        <v>30</v>
      </c>
      <c r="J34" t="s">
        <v>28</v>
      </c>
      <c r="K34" s="2">
        <v>86</v>
      </c>
      <c r="L34" t="s">
        <v>29</v>
      </c>
      <c r="M34" s="3" t="s">
        <v>19</v>
      </c>
      <c r="N34" s="3"/>
      <c r="O34" s="3" t="s">
        <v>605</v>
      </c>
      <c r="P34" t="str">
        <f>IF(Tabelle1[[#This Row],[UN Sovereign States (bool)]]="x", Tabelle1[[#This Row],[ISO-alpha3 Code]], Tabelle1[[#This Row],[Occupier]])</f>
        <v>GBR</v>
      </c>
      <c r="Q34" t="str">
        <f>VLOOKUP(Tabelle1[[#This Row],[Assist]],Tabelle1[[ISO-alpha3 Code]:[Country/Area]],2,FALSE)</f>
        <v>United Kingdom of Great Britain and Northern Ireland</v>
      </c>
      <c r="R34" t="str">
        <f>Tabelle1[[#This Row],[Country/Area]]</f>
        <v>British Indian Ocean Territory</v>
      </c>
    </row>
    <row r="35" spans="1:18" x14ac:dyDescent="0.35">
      <c r="A35" s="2">
        <v>9</v>
      </c>
      <c r="B35" t="s">
        <v>683</v>
      </c>
      <c r="C35" t="s">
        <v>683</v>
      </c>
      <c r="D35" s="2">
        <v>54</v>
      </c>
      <c r="E35" t="s">
        <v>703</v>
      </c>
      <c r="F35" s="2">
        <v>54</v>
      </c>
      <c r="G35" t="s">
        <v>703</v>
      </c>
      <c r="H35" s="2" t="s">
        <v>788</v>
      </c>
      <c r="I35" t="s">
        <v>715</v>
      </c>
      <c r="J35" t="s">
        <v>713</v>
      </c>
      <c r="K35" s="2">
        <v>90</v>
      </c>
      <c r="L35" t="s">
        <v>714</v>
      </c>
      <c r="M35" s="3" t="s">
        <v>19</v>
      </c>
      <c r="N35" s="3" t="s">
        <v>19</v>
      </c>
      <c r="P35" t="str">
        <f>IF(Tabelle1[[#This Row],[UN Sovereign States (bool)]]="x", Tabelle1[[#This Row],[ISO-alpha3 Code]], Tabelle1[[#This Row],[Occupier]])</f>
        <v>SLB</v>
      </c>
      <c r="Q35" t="str">
        <f>VLOOKUP(Tabelle1[[#This Row],[Assist]],Tabelle1[[ISO-alpha3 Code]:[Country/Area]],2,FALSE)</f>
        <v>Solomon Islands</v>
      </c>
      <c r="R35" t="str">
        <f>Tabelle1[[#This Row],[Country/Area]]</f>
        <v>Solomon Islands</v>
      </c>
    </row>
    <row r="36" spans="1:18" x14ac:dyDescent="0.35">
      <c r="A36" s="2">
        <v>19</v>
      </c>
      <c r="B36" t="s">
        <v>190</v>
      </c>
      <c r="C36" s="3" t="s">
        <v>778</v>
      </c>
      <c r="D36" s="2">
        <v>419</v>
      </c>
      <c r="E36" t="s">
        <v>191</v>
      </c>
      <c r="F36" s="2">
        <v>29</v>
      </c>
      <c r="G36" t="s">
        <v>192</v>
      </c>
      <c r="H36" t="s">
        <v>192</v>
      </c>
      <c r="I36" t="s">
        <v>213</v>
      </c>
      <c r="J36" t="s">
        <v>211</v>
      </c>
      <c r="K36" s="2">
        <v>92</v>
      </c>
      <c r="L36" t="s">
        <v>212</v>
      </c>
      <c r="M36" s="3" t="s">
        <v>19</v>
      </c>
      <c r="N36" s="3"/>
      <c r="O36" s="3" t="s">
        <v>605</v>
      </c>
      <c r="P36" t="str">
        <f>IF(Tabelle1[[#This Row],[UN Sovereign States (bool)]]="x", Tabelle1[[#This Row],[ISO-alpha3 Code]], Tabelle1[[#This Row],[Occupier]])</f>
        <v>GBR</v>
      </c>
      <c r="Q36" t="str">
        <f>VLOOKUP(Tabelle1[[#This Row],[Assist]],Tabelle1[[ISO-alpha3 Code]:[Country/Area]],2,FALSE)</f>
        <v>United Kingdom of Great Britain and Northern Ireland</v>
      </c>
      <c r="R36" t="str">
        <f>Tabelle1[[#This Row],[Country/Area]]</f>
        <v>British Virgin Islands</v>
      </c>
    </row>
    <row r="37" spans="1:18" x14ac:dyDescent="0.35">
      <c r="A37" s="2">
        <v>142</v>
      </c>
      <c r="B37" t="s">
        <v>370</v>
      </c>
      <c r="C37" t="s">
        <v>370</v>
      </c>
      <c r="D37" s="2">
        <v>35</v>
      </c>
      <c r="E37" t="s">
        <v>409</v>
      </c>
      <c r="F37" s="2">
        <v>35</v>
      </c>
      <c r="G37" t="s">
        <v>409</v>
      </c>
      <c r="H37" s="2" t="s">
        <v>800</v>
      </c>
      <c r="I37" t="s">
        <v>412</v>
      </c>
      <c r="J37" t="s">
        <v>410</v>
      </c>
      <c r="K37" s="2">
        <v>96</v>
      </c>
      <c r="L37" t="s">
        <v>411</v>
      </c>
      <c r="M37" s="3" t="s">
        <v>19</v>
      </c>
      <c r="N37" s="3" t="s">
        <v>19</v>
      </c>
      <c r="P37" t="str">
        <f>IF(Tabelle1[[#This Row],[UN Sovereign States (bool)]]="x", Tabelle1[[#This Row],[ISO-alpha3 Code]], Tabelle1[[#This Row],[Occupier]])</f>
        <v>BRN</v>
      </c>
      <c r="Q37" t="str">
        <f>VLOOKUP(Tabelle1[[#This Row],[Assist]],Tabelle1[[ISO-alpha3 Code]:[Country/Area]],2,FALSE)</f>
        <v>Brunei Darussalam</v>
      </c>
      <c r="R37" t="str">
        <f>Tabelle1[[#This Row],[Country/Area]]</f>
        <v>Brunei Darussalam</v>
      </c>
    </row>
    <row r="38" spans="1:18" x14ac:dyDescent="0.35">
      <c r="A38" s="2">
        <v>150</v>
      </c>
      <c r="B38" t="s">
        <v>525</v>
      </c>
      <c r="C38" t="s">
        <v>525</v>
      </c>
      <c r="D38" s="2">
        <v>151</v>
      </c>
      <c r="E38" t="s">
        <v>526</v>
      </c>
      <c r="F38" s="2">
        <v>151</v>
      </c>
      <c r="G38" t="s">
        <v>526</v>
      </c>
      <c r="H38" s="2" t="s">
        <v>789</v>
      </c>
      <c r="I38" t="s">
        <v>532</v>
      </c>
      <c r="J38" t="s">
        <v>530</v>
      </c>
      <c r="K38" s="2">
        <v>100</v>
      </c>
      <c r="L38" t="s">
        <v>531</v>
      </c>
      <c r="M38" s="3" t="s">
        <v>19</v>
      </c>
      <c r="N38" s="3" t="s">
        <v>19</v>
      </c>
      <c r="P38" t="str">
        <f>IF(Tabelle1[[#This Row],[UN Sovereign States (bool)]]="x", Tabelle1[[#This Row],[ISO-alpha3 Code]], Tabelle1[[#This Row],[Occupier]])</f>
        <v>BGR</v>
      </c>
      <c r="Q38" t="str">
        <f>VLOOKUP(Tabelle1[[#This Row],[Assist]],Tabelle1[[ISO-alpha3 Code]:[Country/Area]],2,FALSE)</f>
        <v>Bulgaria</v>
      </c>
      <c r="R38" t="str">
        <f>Tabelle1[[#This Row],[Country/Area]]</f>
        <v>Bulgaria</v>
      </c>
    </row>
    <row r="39" spans="1:18" x14ac:dyDescent="0.35">
      <c r="A39" s="2">
        <v>142</v>
      </c>
      <c r="B39" t="s">
        <v>370</v>
      </c>
      <c r="C39" t="s">
        <v>370</v>
      </c>
      <c r="D39" s="2">
        <v>35</v>
      </c>
      <c r="E39" t="s">
        <v>409</v>
      </c>
      <c r="F39" s="2">
        <v>35</v>
      </c>
      <c r="G39" t="s">
        <v>409</v>
      </c>
      <c r="H39" s="2" t="s">
        <v>800</v>
      </c>
      <c r="I39" t="s">
        <v>427</v>
      </c>
      <c r="J39" t="s">
        <v>425</v>
      </c>
      <c r="K39" s="2">
        <v>104</v>
      </c>
      <c r="L39" t="s">
        <v>426</v>
      </c>
      <c r="M39" s="3" t="s">
        <v>19</v>
      </c>
      <c r="N39" s="3" t="s">
        <v>19</v>
      </c>
      <c r="P39" t="str">
        <f>IF(Tabelle1[[#This Row],[UN Sovereign States (bool)]]="x", Tabelle1[[#This Row],[ISO-alpha3 Code]], Tabelle1[[#This Row],[Occupier]])</f>
        <v>MMR</v>
      </c>
      <c r="Q39" t="str">
        <f>VLOOKUP(Tabelle1[[#This Row],[Assist]],Tabelle1[[ISO-alpha3 Code]:[Country/Area]],2,FALSE)</f>
        <v>Myanmar</v>
      </c>
      <c r="R39" t="str">
        <f>Tabelle1[[#This Row],[Country/Area]]</f>
        <v>Myanmar</v>
      </c>
    </row>
    <row r="40" spans="1:18" x14ac:dyDescent="0.35">
      <c r="A40" s="2">
        <v>2</v>
      </c>
      <c r="B40" t="s">
        <v>2</v>
      </c>
      <c r="C40" t="s">
        <v>2</v>
      </c>
      <c r="D40" s="2">
        <v>202</v>
      </c>
      <c r="E40" t="s">
        <v>26</v>
      </c>
      <c r="F40" s="2">
        <v>14</v>
      </c>
      <c r="G40" t="s">
        <v>27</v>
      </c>
      <c r="H40" s="2" t="s">
        <v>779</v>
      </c>
      <c r="I40" t="s">
        <v>33</v>
      </c>
      <c r="J40" t="s">
        <v>31</v>
      </c>
      <c r="K40" s="2">
        <v>108</v>
      </c>
      <c r="L40" t="s">
        <v>32</v>
      </c>
      <c r="M40" s="3" t="s">
        <v>19</v>
      </c>
      <c r="N40" s="3" t="s">
        <v>19</v>
      </c>
      <c r="P40" t="str">
        <f>IF(Tabelle1[[#This Row],[UN Sovereign States (bool)]]="x", Tabelle1[[#This Row],[ISO-alpha3 Code]], Tabelle1[[#This Row],[Occupier]])</f>
        <v>BDI</v>
      </c>
      <c r="Q40" t="str">
        <f>VLOOKUP(Tabelle1[[#This Row],[Assist]],Tabelle1[[ISO-alpha3 Code]:[Country/Area]],2,FALSE)</f>
        <v>Burundi</v>
      </c>
      <c r="R40" t="str">
        <f>Tabelle1[[#This Row],[Country/Area]]</f>
        <v>Burundi</v>
      </c>
    </row>
    <row r="41" spans="1:18" x14ac:dyDescent="0.35">
      <c r="A41" s="2">
        <v>150</v>
      </c>
      <c r="B41" t="s">
        <v>525</v>
      </c>
      <c r="C41" t="s">
        <v>525</v>
      </c>
      <c r="D41" s="2">
        <v>151</v>
      </c>
      <c r="E41" t="s">
        <v>526</v>
      </c>
      <c r="F41" s="2">
        <v>151</v>
      </c>
      <c r="G41" t="s">
        <v>526</v>
      </c>
      <c r="H41" s="2" t="s">
        <v>789</v>
      </c>
      <c r="I41" t="s">
        <v>529</v>
      </c>
      <c r="J41" t="s">
        <v>527</v>
      </c>
      <c r="K41" s="2">
        <v>112</v>
      </c>
      <c r="L41" t="s">
        <v>528</v>
      </c>
      <c r="M41" s="3" t="s">
        <v>19</v>
      </c>
      <c r="N41" s="3" t="s">
        <v>19</v>
      </c>
      <c r="P41" t="str">
        <f>IF(Tabelle1[[#This Row],[UN Sovereign States (bool)]]="x", Tabelle1[[#This Row],[ISO-alpha3 Code]], Tabelle1[[#This Row],[Occupier]])</f>
        <v>BLR</v>
      </c>
      <c r="Q41" t="str">
        <f>VLOOKUP(Tabelle1[[#This Row],[Assist]],Tabelle1[[ISO-alpha3 Code]:[Country/Area]],2,FALSE)</f>
        <v>Belarus</v>
      </c>
      <c r="R41" t="str">
        <f>Tabelle1[[#This Row],[Country/Area]]</f>
        <v>Belarus</v>
      </c>
    </row>
    <row r="42" spans="1:18" x14ac:dyDescent="0.35">
      <c r="A42" s="2">
        <v>142</v>
      </c>
      <c r="B42" t="s">
        <v>370</v>
      </c>
      <c r="C42" t="s">
        <v>370</v>
      </c>
      <c r="D42" s="2">
        <v>35</v>
      </c>
      <c r="E42" t="s">
        <v>409</v>
      </c>
      <c r="F42" s="2">
        <v>35</v>
      </c>
      <c r="G42" t="s">
        <v>409</v>
      </c>
      <c r="H42" s="2" t="s">
        <v>800</v>
      </c>
      <c r="I42" t="s">
        <v>415</v>
      </c>
      <c r="J42" t="s">
        <v>413</v>
      </c>
      <c r="K42" s="2">
        <v>116</v>
      </c>
      <c r="L42" t="s">
        <v>414</v>
      </c>
      <c r="M42" s="3" t="s">
        <v>19</v>
      </c>
      <c r="N42" s="3" t="s">
        <v>19</v>
      </c>
      <c r="P42" t="str">
        <f>IF(Tabelle1[[#This Row],[UN Sovereign States (bool)]]="x", Tabelle1[[#This Row],[ISO-alpha3 Code]], Tabelle1[[#This Row],[Occupier]])</f>
        <v>KHM</v>
      </c>
      <c r="Q42" t="str">
        <f>VLOOKUP(Tabelle1[[#This Row],[Assist]],Tabelle1[[ISO-alpha3 Code]:[Country/Area]],2,FALSE)</f>
        <v>Cambodia</v>
      </c>
      <c r="R42" t="str">
        <f>Tabelle1[[#This Row],[Country/Area]]</f>
        <v>Cambodia</v>
      </c>
    </row>
    <row r="43" spans="1:18" x14ac:dyDescent="0.35">
      <c r="A43" s="2">
        <v>2</v>
      </c>
      <c r="B43" t="s">
        <v>2</v>
      </c>
      <c r="C43" t="s">
        <v>2</v>
      </c>
      <c r="D43" s="2">
        <v>202</v>
      </c>
      <c r="E43" t="s">
        <v>26</v>
      </c>
      <c r="F43" s="2">
        <v>17</v>
      </c>
      <c r="G43" t="s">
        <v>94</v>
      </c>
      <c r="H43" s="2" t="s">
        <v>784</v>
      </c>
      <c r="I43" t="s">
        <v>100</v>
      </c>
      <c r="J43" t="s">
        <v>98</v>
      </c>
      <c r="K43" s="2">
        <v>120</v>
      </c>
      <c r="L43" t="s">
        <v>99</v>
      </c>
      <c r="M43" s="3" t="s">
        <v>19</v>
      </c>
      <c r="N43" s="3" t="s">
        <v>19</v>
      </c>
      <c r="P43" t="str">
        <f>IF(Tabelle1[[#This Row],[UN Sovereign States (bool)]]="x", Tabelle1[[#This Row],[ISO-alpha3 Code]], Tabelle1[[#This Row],[Occupier]])</f>
        <v>CMR</v>
      </c>
      <c r="Q43" t="str">
        <f>VLOOKUP(Tabelle1[[#This Row],[Assist]],Tabelle1[[ISO-alpha3 Code]:[Country/Area]],2,FALSE)</f>
        <v>Cameroon</v>
      </c>
      <c r="R43" t="str">
        <f>Tabelle1[[#This Row],[Country/Area]]</f>
        <v>Cameroon</v>
      </c>
    </row>
    <row r="44" spans="1:18" x14ac:dyDescent="0.35">
      <c r="A44" s="2">
        <v>19</v>
      </c>
      <c r="B44" t="s">
        <v>190</v>
      </c>
      <c r="C44" s="3" t="s">
        <v>778</v>
      </c>
      <c r="D44" s="2">
        <v>21</v>
      </c>
      <c r="E44" t="s">
        <v>351</v>
      </c>
      <c r="F44" s="2">
        <v>21</v>
      </c>
      <c r="G44" t="s">
        <v>351</v>
      </c>
      <c r="H44" s="2" t="s">
        <v>778</v>
      </c>
      <c r="I44" t="s">
        <v>357</v>
      </c>
      <c r="J44" t="s">
        <v>355</v>
      </c>
      <c r="K44" s="2">
        <v>124</v>
      </c>
      <c r="L44" t="s">
        <v>356</v>
      </c>
      <c r="M44" s="3" t="s">
        <v>19</v>
      </c>
      <c r="N44" s="3" t="s">
        <v>19</v>
      </c>
      <c r="P44" t="str">
        <f>IF(Tabelle1[[#This Row],[UN Sovereign States (bool)]]="x", Tabelle1[[#This Row],[ISO-alpha3 Code]], Tabelle1[[#This Row],[Occupier]])</f>
        <v>CAN</v>
      </c>
      <c r="Q44" t="str">
        <f>VLOOKUP(Tabelle1[[#This Row],[Assist]],Tabelle1[[ISO-alpha3 Code]:[Country/Area]],2,FALSE)</f>
        <v>Canada</v>
      </c>
      <c r="R44" t="str">
        <f>Tabelle1[[#This Row],[Country/Area]]</f>
        <v>Canada</v>
      </c>
    </row>
    <row r="45" spans="1:18" x14ac:dyDescent="0.35">
      <c r="A45" s="2">
        <v>2</v>
      </c>
      <c r="B45" t="s">
        <v>2</v>
      </c>
      <c r="C45" t="s">
        <v>2</v>
      </c>
      <c r="D45" s="2">
        <v>202</v>
      </c>
      <c r="E45" t="s">
        <v>26</v>
      </c>
      <c r="F45" s="2">
        <v>11</v>
      </c>
      <c r="G45" t="s">
        <v>138</v>
      </c>
      <c r="H45" s="2" t="s">
        <v>784</v>
      </c>
      <c r="I45" t="s">
        <v>147</v>
      </c>
      <c r="J45" t="s">
        <v>145</v>
      </c>
      <c r="K45" s="2">
        <v>132</v>
      </c>
      <c r="L45" t="s">
        <v>146</v>
      </c>
      <c r="M45" s="3" t="s">
        <v>19</v>
      </c>
      <c r="N45" s="3" t="s">
        <v>19</v>
      </c>
      <c r="P45" t="str">
        <f>IF(Tabelle1[[#This Row],[UN Sovereign States (bool)]]="x", Tabelle1[[#This Row],[ISO-alpha3 Code]], Tabelle1[[#This Row],[Occupier]])</f>
        <v>CPV</v>
      </c>
      <c r="Q45" t="str">
        <f>VLOOKUP(Tabelle1[[#This Row],[Assist]],Tabelle1[[ISO-alpha3 Code]:[Country/Area]],2,FALSE)</f>
        <v>Cabo Verde</v>
      </c>
      <c r="R45" t="str">
        <f>Tabelle1[[#This Row],[Country/Area]]</f>
        <v>Cabo Verde</v>
      </c>
    </row>
    <row r="46" spans="1:18" x14ac:dyDescent="0.35">
      <c r="A46" s="2">
        <v>19</v>
      </c>
      <c r="B46" t="s">
        <v>190</v>
      </c>
      <c r="C46" s="3" t="s">
        <v>778</v>
      </c>
      <c r="D46" s="2">
        <v>419</v>
      </c>
      <c r="E46" t="s">
        <v>191</v>
      </c>
      <c r="F46" s="2">
        <v>29</v>
      </c>
      <c r="G46" t="s">
        <v>192</v>
      </c>
      <c r="H46" t="s">
        <v>192</v>
      </c>
      <c r="I46" t="s">
        <v>216</v>
      </c>
      <c r="J46" t="s">
        <v>214</v>
      </c>
      <c r="K46" s="2">
        <v>136</v>
      </c>
      <c r="L46" t="s">
        <v>215</v>
      </c>
      <c r="M46" s="3" t="s">
        <v>19</v>
      </c>
      <c r="N46" s="3"/>
      <c r="O46" s="3" t="s">
        <v>605</v>
      </c>
      <c r="P46" t="str">
        <f>IF(Tabelle1[[#This Row],[UN Sovereign States (bool)]]="x", Tabelle1[[#This Row],[ISO-alpha3 Code]], Tabelle1[[#This Row],[Occupier]])</f>
        <v>GBR</v>
      </c>
      <c r="Q46" t="str">
        <f>VLOOKUP(Tabelle1[[#This Row],[Assist]],Tabelle1[[ISO-alpha3 Code]:[Country/Area]],2,FALSE)</f>
        <v>United Kingdom of Great Britain and Northern Ireland</v>
      </c>
      <c r="R46" t="str">
        <f>Tabelle1[[#This Row],[Country/Area]]</f>
        <v>Cayman Islands</v>
      </c>
    </row>
    <row r="47" spans="1:18" x14ac:dyDescent="0.35">
      <c r="A47" s="2">
        <v>2</v>
      </c>
      <c r="B47" t="s">
        <v>2</v>
      </c>
      <c r="C47" t="s">
        <v>2</v>
      </c>
      <c r="D47" s="2">
        <v>202</v>
      </c>
      <c r="E47" t="s">
        <v>26</v>
      </c>
      <c r="F47" s="2">
        <v>17</v>
      </c>
      <c r="G47" t="s">
        <v>94</v>
      </c>
      <c r="H47" s="2" t="s">
        <v>779</v>
      </c>
      <c r="I47" t="s">
        <v>103</v>
      </c>
      <c r="J47" t="s">
        <v>101</v>
      </c>
      <c r="K47" s="2">
        <v>140</v>
      </c>
      <c r="L47" t="s">
        <v>102</v>
      </c>
      <c r="M47" s="3" t="s">
        <v>19</v>
      </c>
      <c r="N47" s="3" t="s">
        <v>19</v>
      </c>
      <c r="P47" t="str">
        <f>IF(Tabelle1[[#This Row],[UN Sovereign States (bool)]]="x", Tabelle1[[#This Row],[ISO-alpha3 Code]], Tabelle1[[#This Row],[Occupier]])</f>
        <v>CAF</v>
      </c>
      <c r="Q47" t="str">
        <f>VLOOKUP(Tabelle1[[#This Row],[Assist]],Tabelle1[[ISO-alpha3 Code]:[Country/Area]],2,FALSE)</f>
        <v>Central African Republic</v>
      </c>
      <c r="R47" t="str">
        <f>Tabelle1[[#This Row],[Country/Area]]</f>
        <v>Central African Republic</v>
      </c>
    </row>
    <row r="48" spans="1:18" x14ac:dyDescent="0.35">
      <c r="A48" s="2">
        <v>142</v>
      </c>
      <c r="B48" t="s">
        <v>370</v>
      </c>
      <c r="C48" t="s">
        <v>370</v>
      </c>
      <c r="D48" s="2">
        <v>34</v>
      </c>
      <c r="E48" t="s">
        <v>443</v>
      </c>
      <c r="F48" s="2">
        <v>34</v>
      </c>
      <c r="G48" t="s">
        <v>443</v>
      </c>
      <c r="H48" s="2" t="s">
        <v>780</v>
      </c>
      <c r="I48" t="s">
        <v>470</v>
      </c>
      <c r="J48" t="s">
        <v>468</v>
      </c>
      <c r="K48" s="2">
        <v>144</v>
      </c>
      <c r="L48" t="s">
        <v>469</v>
      </c>
      <c r="M48" s="3" t="s">
        <v>19</v>
      </c>
      <c r="N48" s="3" t="s">
        <v>19</v>
      </c>
      <c r="P48" t="str">
        <f>IF(Tabelle1[[#This Row],[UN Sovereign States (bool)]]="x", Tabelle1[[#This Row],[ISO-alpha3 Code]], Tabelle1[[#This Row],[Occupier]])</f>
        <v>LKA</v>
      </c>
      <c r="Q48" t="str">
        <f>VLOOKUP(Tabelle1[[#This Row],[Assist]],Tabelle1[[ISO-alpha3 Code]:[Country/Area]],2,FALSE)</f>
        <v>Sri Lanka</v>
      </c>
      <c r="R48" t="str">
        <f>Tabelle1[[#This Row],[Country/Area]]</f>
        <v>Sri Lanka</v>
      </c>
    </row>
    <row r="49" spans="1:18" x14ac:dyDescent="0.35">
      <c r="A49" s="2">
        <v>2</v>
      </c>
      <c r="B49" t="s">
        <v>2</v>
      </c>
      <c r="C49" t="s">
        <v>2</v>
      </c>
      <c r="D49" s="2">
        <v>202</v>
      </c>
      <c r="E49" t="s">
        <v>26</v>
      </c>
      <c r="F49" s="2">
        <v>17</v>
      </c>
      <c r="G49" t="s">
        <v>94</v>
      </c>
      <c r="H49" s="2" t="s">
        <v>785</v>
      </c>
      <c r="I49" t="s">
        <v>106</v>
      </c>
      <c r="J49" t="s">
        <v>104</v>
      </c>
      <c r="K49" s="2">
        <v>148</v>
      </c>
      <c r="L49" t="s">
        <v>105</v>
      </c>
      <c r="M49" s="3" t="s">
        <v>19</v>
      </c>
      <c r="N49" s="3" t="s">
        <v>19</v>
      </c>
      <c r="P49" t="str">
        <f>IF(Tabelle1[[#This Row],[UN Sovereign States (bool)]]="x", Tabelle1[[#This Row],[ISO-alpha3 Code]], Tabelle1[[#This Row],[Occupier]])</f>
        <v>TCD</v>
      </c>
      <c r="Q49" t="str">
        <f>VLOOKUP(Tabelle1[[#This Row],[Assist]],Tabelle1[[ISO-alpha3 Code]:[Country/Area]],2,FALSE)</f>
        <v>Chad</v>
      </c>
      <c r="R49" t="str">
        <f>Tabelle1[[#This Row],[Country/Area]]</f>
        <v>Chad</v>
      </c>
    </row>
    <row r="50" spans="1:18" x14ac:dyDescent="0.35">
      <c r="A50" s="2">
        <v>19</v>
      </c>
      <c r="B50" t="s">
        <v>190</v>
      </c>
      <c r="C50" s="3" t="s">
        <v>302</v>
      </c>
      <c r="D50" s="2">
        <v>419</v>
      </c>
      <c r="E50" t="s">
        <v>191</v>
      </c>
      <c r="F50" s="2">
        <v>5</v>
      </c>
      <c r="G50" t="s">
        <v>302</v>
      </c>
      <c r="H50" s="2" t="s">
        <v>794</v>
      </c>
      <c r="I50" t="s">
        <v>317</v>
      </c>
      <c r="J50" t="s">
        <v>315</v>
      </c>
      <c r="K50" s="2">
        <v>152</v>
      </c>
      <c r="L50" t="s">
        <v>316</v>
      </c>
      <c r="M50" s="3" t="s">
        <v>19</v>
      </c>
      <c r="N50" s="3" t="s">
        <v>19</v>
      </c>
      <c r="P50" t="str">
        <f>IF(Tabelle1[[#This Row],[UN Sovereign States (bool)]]="x", Tabelle1[[#This Row],[ISO-alpha3 Code]], Tabelle1[[#This Row],[Occupier]])</f>
        <v>CHL</v>
      </c>
      <c r="Q50" t="str">
        <f>VLOOKUP(Tabelle1[[#This Row],[Assist]],Tabelle1[[ISO-alpha3 Code]:[Country/Area]],2,FALSE)</f>
        <v>Chile</v>
      </c>
      <c r="R50" t="str">
        <f>Tabelle1[[#This Row],[Country/Area]]</f>
        <v>Chile</v>
      </c>
    </row>
    <row r="51" spans="1:18" x14ac:dyDescent="0.35">
      <c r="A51" s="2">
        <v>142</v>
      </c>
      <c r="B51" t="s">
        <v>370</v>
      </c>
      <c r="C51" t="s">
        <v>370</v>
      </c>
      <c r="D51" s="2">
        <v>30</v>
      </c>
      <c r="E51" t="s">
        <v>387</v>
      </c>
      <c r="F51" s="2">
        <v>30</v>
      </c>
      <c r="G51" t="s">
        <v>387</v>
      </c>
      <c r="H51" t="s">
        <v>797</v>
      </c>
      <c r="I51" t="s">
        <v>390</v>
      </c>
      <c r="J51" t="s">
        <v>388</v>
      </c>
      <c r="K51" s="2">
        <v>156</v>
      </c>
      <c r="L51" t="s">
        <v>389</v>
      </c>
      <c r="M51" s="3" t="s">
        <v>19</v>
      </c>
      <c r="N51" s="3" t="s">
        <v>19</v>
      </c>
      <c r="P51" t="str">
        <f>IF(Tabelle1[[#This Row],[UN Sovereign States (bool)]]="x", Tabelle1[[#This Row],[ISO-alpha3 Code]], Tabelle1[[#This Row],[Occupier]])</f>
        <v>CHN</v>
      </c>
      <c r="Q51" t="str">
        <f>VLOOKUP(Tabelle1[[#This Row],[Assist]],Tabelle1[[ISO-alpha3 Code]:[Country/Area]],2,FALSE)</f>
        <v>China</v>
      </c>
      <c r="R51" t="str">
        <f>Tabelle1[[#This Row],[Country/Area]]</f>
        <v>China</v>
      </c>
    </row>
    <row r="52" spans="1:18" x14ac:dyDescent="0.35">
      <c r="A52" s="2">
        <v>142</v>
      </c>
      <c r="B52" t="s">
        <v>370</v>
      </c>
      <c r="C52" t="s">
        <v>370</v>
      </c>
      <c r="D52" s="2">
        <v>30</v>
      </c>
      <c r="E52" s="3" t="s">
        <v>387</v>
      </c>
      <c r="F52" s="2">
        <v>30</v>
      </c>
      <c r="G52" s="3" t="s">
        <v>387</v>
      </c>
      <c r="H52" s="2" t="s">
        <v>797</v>
      </c>
      <c r="I52" s="3" t="s">
        <v>835</v>
      </c>
      <c r="J52" s="3" t="s">
        <v>798</v>
      </c>
      <c r="K52" s="2">
        <v>158</v>
      </c>
      <c r="O52" s="3" t="s">
        <v>390</v>
      </c>
      <c r="P52" t="str">
        <f>IF(Tabelle1[[#This Row],[UN Sovereign States (bool)]]="x", Tabelle1[[#This Row],[ISO-alpha3 Code]], Tabelle1[[#This Row],[Occupier]])</f>
        <v>CHN</v>
      </c>
      <c r="Q52" t="str">
        <f>VLOOKUP(Tabelle1[[#This Row],[Assist]],Tabelle1[[ISO-alpha3 Code]:[Country/Area]],2,FALSE)</f>
        <v>China</v>
      </c>
      <c r="R52" s="3" t="s">
        <v>831</v>
      </c>
    </row>
    <row r="53" spans="1:18" x14ac:dyDescent="0.35">
      <c r="A53" s="2">
        <v>9</v>
      </c>
      <c r="B53" t="s">
        <v>683</v>
      </c>
      <c r="C53" t="s">
        <v>683</v>
      </c>
      <c r="D53" s="2">
        <v>53</v>
      </c>
      <c r="E53" t="s">
        <v>684</v>
      </c>
      <c r="F53" s="2">
        <v>53</v>
      </c>
      <c r="G53" t="s">
        <v>684</v>
      </c>
      <c r="H53" s="4" t="s">
        <v>800</v>
      </c>
      <c r="I53" t="s">
        <v>690</v>
      </c>
      <c r="J53" t="s">
        <v>688</v>
      </c>
      <c r="K53" s="2">
        <v>162</v>
      </c>
      <c r="L53" t="s">
        <v>689</v>
      </c>
      <c r="M53" s="3" t="s">
        <v>19</v>
      </c>
      <c r="N53" s="3"/>
      <c r="O53" s="3" t="s">
        <v>687</v>
      </c>
      <c r="P53" t="str">
        <f>IF(Tabelle1[[#This Row],[UN Sovereign States (bool)]]="x", Tabelle1[[#This Row],[ISO-alpha3 Code]], Tabelle1[[#This Row],[Occupier]])</f>
        <v>AUS</v>
      </c>
      <c r="Q53" t="str">
        <f>VLOOKUP(Tabelle1[[#This Row],[Assist]],Tabelle1[[ISO-alpha3 Code]:[Country/Area]],2,FALSE)</f>
        <v>Australia</v>
      </c>
      <c r="R53" t="str">
        <f>Tabelle1[[#This Row],[Country/Area]]</f>
        <v>Christmas Island</v>
      </c>
    </row>
    <row r="54" spans="1:18" x14ac:dyDescent="0.35">
      <c r="A54" s="2">
        <v>9</v>
      </c>
      <c r="B54" t="s">
        <v>683</v>
      </c>
      <c r="C54" t="s">
        <v>683</v>
      </c>
      <c r="D54" s="2">
        <v>53</v>
      </c>
      <c r="E54" t="s">
        <v>684</v>
      </c>
      <c r="F54" s="2">
        <v>53</v>
      </c>
      <c r="G54" t="s">
        <v>684</v>
      </c>
      <c r="H54" s="4" t="s">
        <v>780</v>
      </c>
      <c r="I54" t="s">
        <v>693</v>
      </c>
      <c r="J54" t="s">
        <v>691</v>
      </c>
      <c r="K54" s="2">
        <v>166</v>
      </c>
      <c r="L54" t="s">
        <v>692</v>
      </c>
      <c r="M54" s="3" t="s">
        <v>19</v>
      </c>
      <c r="N54" s="3"/>
      <c r="O54" s="3" t="s">
        <v>687</v>
      </c>
      <c r="P54" t="str">
        <f>IF(Tabelle1[[#This Row],[UN Sovereign States (bool)]]="x", Tabelle1[[#This Row],[ISO-alpha3 Code]], Tabelle1[[#This Row],[Occupier]])</f>
        <v>AUS</v>
      </c>
      <c r="Q54" t="str">
        <f>VLOOKUP(Tabelle1[[#This Row],[Assist]],Tabelle1[[ISO-alpha3 Code]:[Country/Area]],2,FALSE)</f>
        <v>Australia</v>
      </c>
      <c r="R54" t="str">
        <f>Tabelle1[[#This Row],[Country/Area]]</f>
        <v>Cocos (Keeling) Islands</v>
      </c>
    </row>
    <row r="55" spans="1:18" x14ac:dyDescent="0.35">
      <c r="A55" s="2">
        <v>19</v>
      </c>
      <c r="B55" t="s">
        <v>190</v>
      </c>
      <c r="C55" s="3" t="s">
        <v>302</v>
      </c>
      <c r="D55" s="2">
        <v>419</v>
      </c>
      <c r="E55" t="s">
        <v>191</v>
      </c>
      <c r="F55" s="2">
        <v>5</v>
      </c>
      <c r="G55" t="s">
        <v>302</v>
      </c>
      <c r="H55" s="2" t="s">
        <v>795</v>
      </c>
      <c r="I55" t="s">
        <v>320</v>
      </c>
      <c r="J55" t="s">
        <v>318</v>
      </c>
      <c r="K55" s="2">
        <v>170</v>
      </c>
      <c r="L55" t="s">
        <v>319</v>
      </c>
      <c r="M55" s="3" t="s">
        <v>19</v>
      </c>
      <c r="N55" s="3" t="s">
        <v>19</v>
      </c>
      <c r="P55" t="str">
        <f>IF(Tabelle1[[#This Row],[UN Sovereign States (bool)]]="x", Tabelle1[[#This Row],[ISO-alpha3 Code]], Tabelle1[[#This Row],[Occupier]])</f>
        <v>COL</v>
      </c>
      <c r="Q55" t="str">
        <f>VLOOKUP(Tabelle1[[#This Row],[Assist]],Tabelle1[[ISO-alpha3 Code]:[Country/Area]],2,FALSE)</f>
        <v>Colombia</v>
      </c>
      <c r="R55" t="str">
        <f>Tabelle1[[#This Row],[Country/Area]]</f>
        <v>Colombia</v>
      </c>
    </row>
    <row r="56" spans="1:18" x14ac:dyDescent="0.35">
      <c r="A56" s="2">
        <v>2</v>
      </c>
      <c r="B56" t="s">
        <v>2</v>
      </c>
      <c r="C56" t="s">
        <v>2</v>
      </c>
      <c r="D56" s="2">
        <v>202</v>
      </c>
      <c r="E56" t="s">
        <v>26</v>
      </c>
      <c r="F56" s="2">
        <v>14</v>
      </c>
      <c r="G56" t="s">
        <v>27</v>
      </c>
      <c r="H56" s="2" t="s">
        <v>780</v>
      </c>
      <c r="I56" t="s">
        <v>36</v>
      </c>
      <c r="J56" t="s">
        <v>34</v>
      </c>
      <c r="K56" s="2">
        <v>174</v>
      </c>
      <c r="L56" t="s">
        <v>35</v>
      </c>
      <c r="M56" s="3" t="s">
        <v>19</v>
      </c>
      <c r="N56" s="3" t="s">
        <v>19</v>
      </c>
      <c r="P56" t="str">
        <f>IF(Tabelle1[[#This Row],[UN Sovereign States (bool)]]="x", Tabelle1[[#This Row],[ISO-alpha3 Code]], Tabelle1[[#This Row],[Occupier]])</f>
        <v>COM</v>
      </c>
      <c r="Q56" t="str">
        <f>VLOOKUP(Tabelle1[[#This Row],[Assist]],Tabelle1[[ISO-alpha3 Code]:[Country/Area]],2,FALSE)</f>
        <v>Comoros</v>
      </c>
      <c r="R56" t="str">
        <f>Tabelle1[[#This Row],[Country/Area]]</f>
        <v>Comoros</v>
      </c>
    </row>
    <row r="57" spans="1:18" x14ac:dyDescent="0.35">
      <c r="A57" s="2">
        <v>2</v>
      </c>
      <c r="B57" t="s">
        <v>2</v>
      </c>
      <c r="C57" t="s">
        <v>2</v>
      </c>
      <c r="D57" s="2">
        <v>202</v>
      </c>
      <c r="E57" t="s">
        <v>26</v>
      </c>
      <c r="F57" s="2">
        <v>14</v>
      </c>
      <c r="G57" t="s">
        <v>27</v>
      </c>
      <c r="H57" s="2" t="s">
        <v>780</v>
      </c>
      <c r="I57" t="s">
        <v>63</v>
      </c>
      <c r="J57" t="s">
        <v>61</v>
      </c>
      <c r="K57" s="2">
        <v>175</v>
      </c>
      <c r="L57" t="s">
        <v>62</v>
      </c>
      <c r="M57" s="3" t="s">
        <v>19</v>
      </c>
      <c r="N57" s="3"/>
      <c r="O57" s="3" t="s">
        <v>664</v>
      </c>
      <c r="P57" t="str">
        <f>IF(Tabelle1[[#This Row],[UN Sovereign States (bool)]]="x", Tabelle1[[#This Row],[ISO-alpha3 Code]], Tabelle1[[#This Row],[Occupier]])</f>
        <v>FRA</v>
      </c>
      <c r="Q57" t="str">
        <f>VLOOKUP(Tabelle1[[#This Row],[Assist]],Tabelle1[[ISO-alpha3 Code]:[Country/Area]],2,FALSE)</f>
        <v>France</v>
      </c>
      <c r="R57" t="str">
        <f>Tabelle1[[#This Row],[Country/Area]]</f>
        <v>Mayotte</v>
      </c>
    </row>
    <row r="58" spans="1:18" x14ac:dyDescent="0.35">
      <c r="A58" s="2">
        <v>2</v>
      </c>
      <c r="B58" t="s">
        <v>2</v>
      </c>
      <c r="C58" t="s">
        <v>2</v>
      </c>
      <c r="D58" s="2">
        <v>202</v>
      </c>
      <c r="E58" t="s">
        <v>26</v>
      </c>
      <c r="F58" s="2">
        <v>17</v>
      </c>
      <c r="G58" t="s">
        <v>94</v>
      </c>
      <c r="H58" s="2" t="s">
        <v>779</v>
      </c>
      <c r="I58" t="s">
        <v>109</v>
      </c>
      <c r="J58" t="s">
        <v>107</v>
      </c>
      <c r="K58" s="2">
        <v>178</v>
      </c>
      <c r="L58" t="s">
        <v>108</v>
      </c>
      <c r="M58" s="3" t="s">
        <v>19</v>
      </c>
      <c r="N58" s="3" t="s">
        <v>19</v>
      </c>
      <c r="P58" t="str">
        <f>IF(Tabelle1[[#This Row],[UN Sovereign States (bool)]]="x", Tabelle1[[#This Row],[ISO-alpha3 Code]], Tabelle1[[#This Row],[Occupier]])</f>
        <v>COG</v>
      </c>
      <c r="Q58" t="str">
        <f>VLOOKUP(Tabelle1[[#This Row],[Assist]],Tabelle1[[ISO-alpha3 Code]:[Country/Area]],2,FALSE)</f>
        <v>Congo</v>
      </c>
      <c r="R58" t="str">
        <f>Tabelle1[[#This Row],[Country/Area]]</f>
        <v>Congo</v>
      </c>
    </row>
    <row r="59" spans="1:18" x14ac:dyDescent="0.35">
      <c r="A59" s="2">
        <v>2</v>
      </c>
      <c r="B59" t="s">
        <v>2</v>
      </c>
      <c r="C59" t="s">
        <v>2</v>
      </c>
      <c r="D59" s="2">
        <v>202</v>
      </c>
      <c r="E59" t="s">
        <v>26</v>
      </c>
      <c r="F59" s="2">
        <v>17</v>
      </c>
      <c r="G59" t="s">
        <v>94</v>
      </c>
      <c r="H59" s="2" t="s">
        <v>779</v>
      </c>
      <c r="I59" t="s">
        <v>112</v>
      </c>
      <c r="J59" t="s">
        <v>110</v>
      </c>
      <c r="K59" s="2">
        <v>180</v>
      </c>
      <c r="L59" t="s">
        <v>111</v>
      </c>
      <c r="M59" s="3" t="s">
        <v>19</v>
      </c>
      <c r="N59" s="3" t="s">
        <v>19</v>
      </c>
      <c r="P59" t="str">
        <f>IF(Tabelle1[[#This Row],[UN Sovereign States (bool)]]="x", Tabelle1[[#This Row],[ISO-alpha3 Code]], Tabelle1[[#This Row],[Occupier]])</f>
        <v>COD</v>
      </c>
      <c r="Q59" t="str">
        <f>VLOOKUP(Tabelle1[[#This Row],[Assist]],Tabelle1[[ISO-alpha3 Code]:[Country/Area]],2,FALSE)</f>
        <v>Democratic Republic of the Congo</v>
      </c>
      <c r="R59" t="str">
        <f>Tabelle1[[#This Row],[Country/Area]]</f>
        <v>Democratic Republic of the Congo</v>
      </c>
    </row>
    <row r="60" spans="1:18" x14ac:dyDescent="0.35">
      <c r="A60" s="2">
        <v>9</v>
      </c>
      <c r="B60" t="s">
        <v>683</v>
      </c>
      <c r="C60" t="s">
        <v>683</v>
      </c>
      <c r="D60" s="2">
        <v>61</v>
      </c>
      <c r="E60" t="s">
        <v>744</v>
      </c>
      <c r="F60" s="2">
        <v>61</v>
      </c>
      <c r="G60" t="s">
        <v>744</v>
      </c>
      <c r="H60" s="2" t="s">
        <v>788</v>
      </c>
      <c r="I60" t="s">
        <v>750</v>
      </c>
      <c r="J60" t="s">
        <v>748</v>
      </c>
      <c r="K60" s="2">
        <v>184</v>
      </c>
      <c r="L60" t="s">
        <v>749</v>
      </c>
      <c r="M60" s="3" t="s">
        <v>19</v>
      </c>
      <c r="N60" s="3"/>
      <c r="O60" s="3" t="s">
        <v>699</v>
      </c>
      <c r="P60" t="str">
        <f>IF(Tabelle1[[#This Row],[UN Sovereign States (bool)]]="x", Tabelle1[[#This Row],[ISO-alpha3 Code]], Tabelle1[[#This Row],[Occupier]])</f>
        <v>NZL</v>
      </c>
      <c r="Q60" t="str">
        <f>VLOOKUP(Tabelle1[[#This Row],[Assist]],Tabelle1[[ISO-alpha3 Code]:[Country/Area]],2,FALSE)</f>
        <v>New Zealand</v>
      </c>
      <c r="R60" t="str">
        <f>Tabelle1[[#This Row],[Country/Area]]</f>
        <v>Cook Islands</v>
      </c>
    </row>
    <row r="61" spans="1:18" x14ac:dyDescent="0.35">
      <c r="A61" s="2">
        <v>19</v>
      </c>
      <c r="B61" t="s">
        <v>190</v>
      </c>
      <c r="C61" s="3" t="s">
        <v>302</v>
      </c>
      <c r="D61" s="2">
        <v>419</v>
      </c>
      <c r="E61" t="s">
        <v>191</v>
      </c>
      <c r="F61" s="2">
        <v>13</v>
      </c>
      <c r="G61" t="s">
        <v>277</v>
      </c>
      <c r="H61" s="2" t="s">
        <v>277</v>
      </c>
      <c r="I61" t="s">
        <v>283</v>
      </c>
      <c r="J61" t="s">
        <v>281</v>
      </c>
      <c r="K61" s="2">
        <v>188</v>
      </c>
      <c r="L61" t="s">
        <v>282</v>
      </c>
      <c r="M61" s="3" t="s">
        <v>19</v>
      </c>
      <c r="N61" s="3" t="s">
        <v>19</v>
      </c>
      <c r="P61" t="str">
        <f>IF(Tabelle1[[#This Row],[UN Sovereign States (bool)]]="x", Tabelle1[[#This Row],[ISO-alpha3 Code]], Tabelle1[[#This Row],[Occupier]])</f>
        <v>CRI</v>
      </c>
      <c r="Q61" t="str">
        <f>VLOOKUP(Tabelle1[[#This Row],[Assist]],Tabelle1[[ISO-alpha3 Code]:[Country/Area]],2,FALSE)</f>
        <v>Costa Rica</v>
      </c>
      <c r="R61" t="str">
        <f>Tabelle1[[#This Row],[Country/Area]]</f>
        <v>Costa Rica</v>
      </c>
    </row>
    <row r="62" spans="1:18" x14ac:dyDescent="0.35">
      <c r="A62" s="2">
        <v>150</v>
      </c>
      <c r="B62" t="s">
        <v>525</v>
      </c>
      <c r="C62" t="s">
        <v>525</v>
      </c>
      <c r="D62" s="2">
        <v>39</v>
      </c>
      <c r="E62" t="s">
        <v>606</v>
      </c>
      <c r="F62" s="2">
        <v>39</v>
      </c>
      <c r="G62" t="s">
        <v>606</v>
      </c>
      <c r="H62" s="4" t="s">
        <v>791</v>
      </c>
      <c r="I62" t="s">
        <v>618</v>
      </c>
      <c r="J62" t="s">
        <v>616</v>
      </c>
      <c r="K62" s="2">
        <v>191</v>
      </c>
      <c r="L62" t="s">
        <v>617</v>
      </c>
      <c r="M62" s="3" t="s">
        <v>19</v>
      </c>
      <c r="N62" s="3" t="s">
        <v>19</v>
      </c>
      <c r="P62" t="str">
        <f>IF(Tabelle1[[#This Row],[UN Sovereign States (bool)]]="x", Tabelle1[[#This Row],[ISO-alpha3 Code]], Tabelle1[[#This Row],[Occupier]])</f>
        <v>HRV</v>
      </c>
      <c r="Q62" t="str">
        <f>VLOOKUP(Tabelle1[[#This Row],[Assist]],Tabelle1[[ISO-alpha3 Code]:[Country/Area]],2,FALSE)</f>
        <v>Croatia</v>
      </c>
      <c r="R62" t="str">
        <f>Tabelle1[[#This Row],[Country/Area]]</f>
        <v>Croatia</v>
      </c>
    </row>
    <row r="63" spans="1:18" x14ac:dyDescent="0.35">
      <c r="A63" s="2">
        <v>19</v>
      </c>
      <c r="B63" t="s">
        <v>190</v>
      </c>
      <c r="C63" s="3" t="s">
        <v>778</v>
      </c>
      <c r="D63" s="2">
        <v>419</v>
      </c>
      <c r="E63" t="s">
        <v>191</v>
      </c>
      <c r="F63" s="2">
        <v>29</v>
      </c>
      <c r="G63" t="s">
        <v>192</v>
      </c>
      <c r="H63" t="s">
        <v>192</v>
      </c>
      <c r="I63" t="s">
        <v>219</v>
      </c>
      <c r="J63" t="s">
        <v>217</v>
      </c>
      <c r="K63" s="2">
        <v>192</v>
      </c>
      <c r="L63" t="s">
        <v>218</v>
      </c>
      <c r="M63" s="3" t="s">
        <v>19</v>
      </c>
      <c r="N63" s="3" t="s">
        <v>19</v>
      </c>
      <c r="P63" t="str">
        <f>IF(Tabelle1[[#This Row],[UN Sovereign States (bool)]]="x", Tabelle1[[#This Row],[ISO-alpha3 Code]], Tabelle1[[#This Row],[Occupier]])</f>
        <v>CUB</v>
      </c>
      <c r="Q63" t="str">
        <f>VLOOKUP(Tabelle1[[#This Row],[Assist]],Tabelle1[[ISO-alpha3 Code]:[Country/Area]],2,FALSE)</f>
        <v>Cuba</v>
      </c>
      <c r="R63" t="str">
        <f>Tabelle1[[#This Row],[Country/Area]]</f>
        <v>Cuba</v>
      </c>
    </row>
    <row r="64" spans="1:18" x14ac:dyDescent="0.35">
      <c r="A64" s="2">
        <v>142</v>
      </c>
      <c r="B64" t="s">
        <v>370</v>
      </c>
      <c r="C64" t="s">
        <v>370</v>
      </c>
      <c r="D64" s="2">
        <v>145</v>
      </c>
      <c r="E64" t="s">
        <v>471</v>
      </c>
      <c r="F64" s="2">
        <v>145</v>
      </c>
      <c r="G64" t="s">
        <v>471</v>
      </c>
      <c r="H64" s="2" t="s">
        <v>802</v>
      </c>
      <c r="I64" t="s">
        <v>483</v>
      </c>
      <c r="J64" t="s">
        <v>481</v>
      </c>
      <c r="K64" s="2">
        <v>196</v>
      </c>
      <c r="L64" t="s">
        <v>482</v>
      </c>
      <c r="M64" s="3" t="s">
        <v>19</v>
      </c>
      <c r="N64" s="3" t="s">
        <v>19</v>
      </c>
      <c r="P64" t="str">
        <f>IF(Tabelle1[[#This Row],[UN Sovereign States (bool)]]="x", Tabelle1[[#This Row],[ISO-alpha3 Code]], Tabelle1[[#This Row],[Occupier]])</f>
        <v>CYP</v>
      </c>
      <c r="Q64" t="str">
        <f>VLOOKUP(Tabelle1[[#This Row],[Assist]],Tabelle1[[ISO-alpha3 Code]:[Country/Area]],2,FALSE)</f>
        <v>Cyprus</v>
      </c>
      <c r="R64" t="str">
        <f>Tabelle1[[#This Row],[Country/Area]]</f>
        <v>Cyprus</v>
      </c>
    </row>
    <row r="65" spans="1:18" x14ac:dyDescent="0.35">
      <c r="A65" s="2">
        <v>150</v>
      </c>
      <c r="B65" t="s">
        <v>525</v>
      </c>
      <c r="C65" t="s">
        <v>525</v>
      </c>
      <c r="D65" s="2">
        <v>151</v>
      </c>
      <c r="E65" t="s">
        <v>526</v>
      </c>
      <c r="F65" s="2">
        <v>151</v>
      </c>
      <c r="G65" t="s">
        <v>526</v>
      </c>
      <c r="H65" s="2" t="s">
        <v>790</v>
      </c>
      <c r="I65" t="s">
        <v>535</v>
      </c>
      <c r="J65" t="s">
        <v>533</v>
      </c>
      <c r="K65" s="2">
        <v>203</v>
      </c>
      <c r="L65" t="s">
        <v>534</v>
      </c>
      <c r="M65" s="3" t="s">
        <v>19</v>
      </c>
      <c r="N65" s="3" t="s">
        <v>19</v>
      </c>
      <c r="P65" t="str">
        <f>IF(Tabelle1[[#This Row],[UN Sovereign States (bool)]]="x", Tabelle1[[#This Row],[ISO-alpha3 Code]], Tabelle1[[#This Row],[Occupier]])</f>
        <v>CZE</v>
      </c>
      <c r="Q65" t="str">
        <f>VLOOKUP(Tabelle1[[#This Row],[Assist]],Tabelle1[[ISO-alpha3 Code]:[Country/Area]],2,FALSE)</f>
        <v>Czechia</v>
      </c>
      <c r="R65" t="str">
        <f>Tabelle1[[#This Row],[Country/Area]]</f>
        <v>Czechia</v>
      </c>
    </row>
    <row r="66" spans="1:18" x14ac:dyDescent="0.35">
      <c r="A66" s="2">
        <v>2</v>
      </c>
      <c r="B66" t="s">
        <v>2</v>
      </c>
      <c r="C66" t="s">
        <v>2</v>
      </c>
      <c r="D66" s="2">
        <v>202</v>
      </c>
      <c r="E66" t="s">
        <v>26</v>
      </c>
      <c r="F66" s="2">
        <v>11</v>
      </c>
      <c r="G66" t="s">
        <v>138</v>
      </c>
      <c r="H66" s="2" t="s">
        <v>784</v>
      </c>
      <c r="I66" t="s">
        <v>141</v>
      </c>
      <c r="J66" t="s">
        <v>139</v>
      </c>
      <c r="K66" s="2">
        <v>204</v>
      </c>
      <c r="L66" t="s">
        <v>140</v>
      </c>
      <c r="M66" s="3" t="s">
        <v>19</v>
      </c>
      <c r="N66" s="3" t="s">
        <v>19</v>
      </c>
      <c r="P66" t="str">
        <f>IF(Tabelle1[[#This Row],[UN Sovereign States (bool)]]="x", Tabelle1[[#This Row],[ISO-alpha3 Code]], Tabelle1[[#This Row],[Occupier]])</f>
        <v>BEN</v>
      </c>
      <c r="Q66" t="str">
        <f>VLOOKUP(Tabelle1[[#This Row],[Assist]],Tabelle1[[ISO-alpha3 Code]:[Country/Area]],2,FALSE)</f>
        <v>Benin</v>
      </c>
      <c r="R66" t="str">
        <f>Tabelle1[[#This Row],[Country/Area]]</f>
        <v>Benin</v>
      </c>
    </row>
    <row r="67" spans="1:18" x14ac:dyDescent="0.35">
      <c r="A67" s="2">
        <v>150</v>
      </c>
      <c r="B67" t="s">
        <v>525</v>
      </c>
      <c r="C67" t="s">
        <v>525</v>
      </c>
      <c r="D67" s="2">
        <v>154</v>
      </c>
      <c r="E67" t="s">
        <v>557</v>
      </c>
      <c r="F67" s="2">
        <v>154</v>
      </c>
      <c r="G67" t="s">
        <v>557</v>
      </c>
      <c r="H67" s="2" t="s">
        <v>790</v>
      </c>
      <c r="I67" t="s">
        <v>563</v>
      </c>
      <c r="J67" t="s">
        <v>561</v>
      </c>
      <c r="K67" s="2">
        <v>208</v>
      </c>
      <c r="L67" t="s">
        <v>562</v>
      </c>
      <c r="M67" s="3" t="s">
        <v>19</v>
      </c>
      <c r="N67" s="3" t="s">
        <v>19</v>
      </c>
      <c r="P67" t="str">
        <f>IF(Tabelle1[[#This Row],[UN Sovereign States (bool)]]="x", Tabelle1[[#This Row],[ISO-alpha3 Code]], Tabelle1[[#This Row],[Occupier]])</f>
        <v>DNK</v>
      </c>
      <c r="Q67" t="str">
        <f>VLOOKUP(Tabelle1[[#This Row],[Assist]],Tabelle1[[ISO-alpha3 Code]:[Country/Area]],2,FALSE)</f>
        <v>Denmark</v>
      </c>
      <c r="R67" t="str">
        <f>Tabelle1[[#This Row],[Country/Area]]</f>
        <v>Denmark</v>
      </c>
    </row>
    <row r="68" spans="1:18" x14ac:dyDescent="0.35">
      <c r="A68" s="2">
        <v>19</v>
      </c>
      <c r="B68" t="s">
        <v>190</v>
      </c>
      <c r="C68" s="3" t="s">
        <v>778</v>
      </c>
      <c r="D68" s="2">
        <v>419</v>
      </c>
      <c r="E68" t="s">
        <v>191</v>
      </c>
      <c r="F68" s="2">
        <v>29</v>
      </c>
      <c r="G68" t="s">
        <v>192</v>
      </c>
      <c r="H68" t="s">
        <v>192</v>
      </c>
      <c r="I68" t="s">
        <v>225</v>
      </c>
      <c r="J68" t="s">
        <v>223</v>
      </c>
      <c r="K68" s="2">
        <v>212</v>
      </c>
      <c r="L68" t="s">
        <v>224</v>
      </c>
      <c r="M68" s="3" t="s">
        <v>19</v>
      </c>
      <c r="N68" s="3" t="s">
        <v>19</v>
      </c>
      <c r="P68" t="str">
        <f>IF(Tabelle1[[#This Row],[UN Sovereign States (bool)]]="x", Tabelle1[[#This Row],[ISO-alpha3 Code]], Tabelle1[[#This Row],[Occupier]])</f>
        <v>DMA</v>
      </c>
      <c r="Q68" t="str">
        <f>VLOOKUP(Tabelle1[[#This Row],[Assist]],Tabelle1[[ISO-alpha3 Code]:[Country/Area]],2,FALSE)</f>
        <v>Dominica</v>
      </c>
      <c r="R68" t="str">
        <f>Tabelle1[[#This Row],[Country/Area]]</f>
        <v>Dominica</v>
      </c>
    </row>
    <row r="69" spans="1:18" x14ac:dyDescent="0.35">
      <c r="A69" s="2">
        <v>19</v>
      </c>
      <c r="B69" t="s">
        <v>190</v>
      </c>
      <c r="C69" s="3" t="s">
        <v>778</v>
      </c>
      <c r="D69" s="2">
        <v>419</v>
      </c>
      <c r="E69" t="s">
        <v>191</v>
      </c>
      <c r="F69" s="2">
        <v>29</v>
      </c>
      <c r="G69" t="s">
        <v>192</v>
      </c>
      <c r="H69" t="s">
        <v>192</v>
      </c>
      <c r="I69" t="s">
        <v>228</v>
      </c>
      <c r="J69" t="s">
        <v>226</v>
      </c>
      <c r="K69" s="2">
        <v>214</v>
      </c>
      <c r="L69" t="s">
        <v>227</v>
      </c>
      <c r="M69" s="3" t="s">
        <v>19</v>
      </c>
      <c r="N69" s="3" t="s">
        <v>19</v>
      </c>
      <c r="P69" t="str">
        <f>IF(Tabelle1[[#This Row],[UN Sovereign States (bool)]]="x", Tabelle1[[#This Row],[ISO-alpha3 Code]], Tabelle1[[#This Row],[Occupier]])</f>
        <v>DOM</v>
      </c>
      <c r="Q69" t="str">
        <f>VLOOKUP(Tabelle1[[#This Row],[Assist]],Tabelle1[[ISO-alpha3 Code]:[Country/Area]],2,FALSE)</f>
        <v>Dominican Republic</v>
      </c>
      <c r="R69" t="str">
        <f>Tabelle1[[#This Row],[Country/Area]]</f>
        <v>Dominican Republic</v>
      </c>
    </row>
    <row r="70" spans="1:18" x14ac:dyDescent="0.35">
      <c r="A70" s="2">
        <v>19</v>
      </c>
      <c r="B70" t="s">
        <v>190</v>
      </c>
      <c r="C70" s="3" t="s">
        <v>302</v>
      </c>
      <c r="D70" s="2">
        <v>419</v>
      </c>
      <c r="E70" t="s">
        <v>191</v>
      </c>
      <c r="F70" s="2">
        <v>5</v>
      </c>
      <c r="G70" t="s">
        <v>302</v>
      </c>
      <c r="H70" s="2" t="s">
        <v>794</v>
      </c>
      <c r="I70" t="s">
        <v>323</v>
      </c>
      <c r="J70" t="s">
        <v>321</v>
      </c>
      <c r="K70" s="2">
        <v>218</v>
      </c>
      <c r="L70" t="s">
        <v>322</v>
      </c>
      <c r="M70" s="3" t="s">
        <v>19</v>
      </c>
      <c r="N70" s="3" t="s">
        <v>19</v>
      </c>
      <c r="P70" t="str">
        <f>IF(Tabelle1[[#This Row],[UN Sovereign States (bool)]]="x", Tabelle1[[#This Row],[ISO-alpha3 Code]], Tabelle1[[#This Row],[Occupier]])</f>
        <v>ECU</v>
      </c>
      <c r="Q70" t="str">
        <f>VLOOKUP(Tabelle1[[#This Row],[Assist]],Tabelle1[[ISO-alpha3 Code]:[Country/Area]],2,FALSE)</f>
        <v>Ecuador</v>
      </c>
      <c r="R70" t="str">
        <f>Tabelle1[[#This Row],[Country/Area]]</f>
        <v>Ecuador</v>
      </c>
    </row>
    <row r="71" spans="1:18" x14ac:dyDescent="0.35">
      <c r="A71" s="2">
        <v>19</v>
      </c>
      <c r="B71" t="s">
        <v>190</v>
      </c>
      <c r="C71" s="3" t="s">
        <v>302</v>
      </c>
      <c r="D71" s="2">
        <v>419</v>
      </c>
      <c r="E71" t="s">
        <v>191</v>
      </c>
      <c r="F71" s="2">
        <v>13</v>
      </c>
      <c r="G71" t="s">
        <v>277</v>
      </c>
      <c r="H71" s="2" t="s">
        <v>277</v>
      </c>
      <c r="I71" t="s">
        <v>286</v>
      </c>
      <c r="J71" t="s">
        <v>284</v>
      </c>
      <c r="K71" s="2">
        <v>222</v>
      </c>
      <c r="L71" t="s">
        <v>285</v>
      </c>
      <c r="M71" s="3" t="s">
        <v>19</v>
      </c>
      <c r="N71" s="3" t="s">
        <v>19</v>
      </c>
      <c r="P71" t="str">
        <f>IF(Tabelle1[[#This Row],[UN Sovereign States (bool)]]="x", Tabelle1[[#This Row],[ISO-alpha3 Code]], Tabelle1[[#This Row],[Occupier]])</f>
        <v>SLV</v>
      </c>
      <c r="Q71" t="str">
        <f>VLOOKUP(Tabelle1[[#This Row],[Assist]],Tabelle1[[ISO-alpha3 Code]:[Country/Area]],2,FALSE)</f>
        <v>El Salvador</v>
      </c>
      <c r="R71" t="str">
        <f>Tabelle1[[#This Row],[Country/Area]]</f>
        <v>El Salvador</v>
      </c>
    </row>
    <row r="72" spans="1:18" x14ac:dyDescent="0.35">
      <c r="A72" s="2">
        <v>2</v>
      </c>
      <c r="B72" t="s">
        <v>2</v>
      </c>
      <c r="C72" t="s">
        <v>2</v>
      </c>
      <c r="D72" s="2">
        <v>202</v>
      </c>
      <c r="E72" t="s">
        <v>26</v>
      </c>
      <c r="F72" s="2">
        <v>17</v>
      </c>
      <c r="G72" t="s">
        <v>94</v>
      </c>
      <c r="H72" s="2" t="s">
        <v>784</v>
      </c>
      <c r="I72" t="s">
        <v>115</v>
      </c>
      <c r="J72" t="s">
        <v>113</v>
      </c>
      <c r="K72" s="2">
        <v>226</v>
      </c>
      <c r="L72" t="s">
        <v>114</v>
      </c>
      <c r="M72" s="3" t="s">
        <v>19</v>
      </c>
      <c r="N72" s="3" t="s">
        <v>19</v>
      </c>
      <c r="P72" t="str">
        <f>IF(Tabelle1[[#This Row],[UN Sovereign States (bool)]]="x", Tabelle1[[#This Row],[ISO-alpha3 Code]], Tabelle1[[#This Row],[Occupier]])</f>
        <v>GNQ</v>
      </c>
      <c r="Q72" t="str">
        <f>VLOOKUP(Tabelle1[[#This Row],[Assist]],Tabelle1[[ISO-alpha3 Code]:[Country/Area]],2,FALSE)</f>
        <v>Equatorial Guinea</v>
      </c>
      <c r="R72" t="str">
        <f>Tabelle1[[#This Row],[Country/Area]]</f>
        <v>Equatorial Guinea</v>
      </c>
    </row>
    <row r="73" spans="1:18" x14ac:dyDescent="0.35">
      <c r="A73" s="2">
        <v>2</v>
      </c>
      <c r="B73" t="s">
        <v>2</v>
      </c>
      <c r="C73" t="s">
        <v>2</v>
      </c>
      <c r="D73" s="2">
        <v>202</v>
      </c>
      <c r="E73" t="s">
        <v>26</v>
      </c>
      <c r="F73" s="2">
        <v>14</v>
      </c>
      <c r="G73" t="s">
        <v>27</v>
      </c>
      <c r="H73" s="2" t="s">
        <v>781</v>
      </c>
      <c r="I73" t="s">
        <v>45</v>
      </c>
      <c r="J73" t="s">
        <v>43</v>
      </c>
      <c r="K73" s="2">
        <v>231</v>
      </c>
      <c r="L73" t="s">
        <v>44</v>
      </c>
      <c r="M73" s="3" t="s">
        <v>19</v>
      </c>
      <c r="N73" s="3" t="s">
        <v>19</v>
      </c>
      <c r="P73" t="str">
        <f>IF(Tabelle1[[#This Row],[UN Sovereign States (bool)]]="x", Tabelle1[[#This Row],[ISO-alpha3 Code]], Tabelle1[[#This Row],[Occupier]])</f>
        <v>ETH</v>
      </c>
      <c r="Q73" t="str">
        <f>VLOOKUP(Tabelle1[[#This Row],[Assist]],Tabelle1[[ISO-alpha3 Code]:[Country/Area]],2,FALSE)</f>
        <v>Ethiopia</v>
      </c>
      <c r="R73" t="str">
        <f>Tabelle1[[#This Row],[Country/Area]]</f>
        <v>Ethiopia</v>
      </c>
    </row>
    <row r="74" spans="1:18" x14ac:dyDescent="0.35">
      <c r="A74" s="2">
        <v>2</v>
      </c>
      <c r="B74" t="s">
        <v>2</v>
      </c>
      <c r="C74" t="s">
        <v>2</v>
      </c>
      <c r="D74" s="2">
        <v>202</v>
      </c>
      <c r="E74" t="s">
        <v>26</v>
      </c>
      <c r="F74" s="2">
        <v>14</v>
      </c>
      <c r="G74" t="s">
        <v>27</v>
      </c>
      <c r="H74" s="2" t="s">
        <v>782</v>
      </c>
      <c r="I74" t="s">
        <v>42</v>
      </c>
      <c r="J74" t="s">
        <v>40</v>
      </c>
      <c r="K74" s="2">
        <v>232</v>
      </c>
      <c r="L74" t="s">
        <v>41</v>
      </c>
      <c r="M74" s="3" t="s">
        <v>19</v>
      </c>
      <c r="N74" s="3" t="s">
        <v>19</v>
      </c>
      <c r="P74" t="str">
        <f>IF(Tabelle1[[#This Row],[UN Sovereign States (bool)]]="x", Tabelle1[[#This Row],[ISO-alpha3 Code]], Tabelle1[[#This Row],[Occupier]])</f>
        <v>ERI</v>
      </c>
      <c r="Q74" t="str">
        <f>VLOOKUP(Tabelle1[[#This Row],[Assist]],Tabelle1[[ISO-alpha3 Code]:[Country/Area]],2,FALSE)</f>
        <v>Eritrea</v>
      </c>
      <c r="R74" t="str">
        <f>Tabelle1[[#This Row],[Country/Area]]</f>
        <v>Eritrea</v>
      </c>
    </row>
    <row r="75" spans="1:18" x14ac:dyDescent="0.35">
      <c r="A75" s="2">
        <v>150</v>
      </c>
      <c r="B75" t="s">
        <v>525</v>
      </c>
      <c r="C75" t="s">
        <v>525</v>
      </c>
      <c r="D75" s="2">
        <v>154</v>
      </c>
      <c r="E75" t="s">
        <v>557</v>
      </c>
      <c r="F75" s="2">
        <v>154</v>
      </c>
      <c r="G75" t="s">
        <v>557</v>
      </c>
      <c r="H75" s="2" t="s">
        <v>789</v>
      </c>
      <c r="I75" t="s">
        <v>566</v>
      </c>
      <c r="J75" t="s">
        <v>564</v>
      </c>
      <c r="K75" s="2">
        <v>233</v>
      </c>
      <c r="L75" t="s">
        <v>565</v>
      </c>
      <c r="M75" s="3" t="s">
        <v>19</v>
      </c>
      <c r="N75" s="3" t="s">
        <v>19</v>
      </c>
      <c r="P75" t="str">
        <f>IF(Tabelle1[[#This Row],[UN Sovereign States (bool)]]="x", Tabelle1[[#This Row],[ISO-alpha3 Code]], Tabelle1[[#This Row],[Occupier]])</f>
        <v>EST</v>
      </c>
      <c r="Q75" t="str">
        <f>VLOOKUP(Tabelle1[[#This Row],[Assist]],Tabelle1[[ISO-alpha3 Code]:[Country/Area]],2,FALSE)</f>
        <v>Estonia</v>
      </c>
      <c r="R75" t="str">
        <f>Tabelle1[[#This Row],[Country/Area]]</f>
        <v>Estonia</v>
      </c>
    </row>
    <row r="76" spans="1:18" x14ac:dyDescent="0.35">
      <c r="A76" s="2">
        <v>150</v>
      </c>
      <c r="B76" t="s">
        <v>525</v>
      </c>
      <c r="C76" t="s">
        <v>525</v>
      </c>
      <c r="D76" s="2">
        <v>154</v>
      </c>
      <c r="E76" t="s">
        <v>557</v>
      </c>
      <c r="F76" s="2">
        <v>154</v>
      </c>
      <c r="G76" t="s">
        <v>557</v>
      </c>
      <c r="H76" s="2" t="s">
        <v>790</v>
      </c>
      <c r="I76" t="s">
        <v>569</v>
      </c>
      <c r="J76" t="s">
        <v>567</v>
      </c>
      <c r="K76" s="2">
        <v>234</v>
      </c>
      <c r="L76" t="s">
        <v>568</v>
      </c>
      <c r="M76" s="3" t="s">
        <v>19</v>
      </c>
      <c r="N76" s="3"/>
      <c r="O76" s="3" t="s">
        <v>563</v>
      </c>
      <c r="P76" t="str">
        <f>IF(Tabelle1[[#This Row],[UN Sovereign States (bool)]]="x", Tabelle1[[#This Row],[ISO-alpha3 Code]], Tabelle1[[#This Row],[Occupier]])</f>
        <v>DNK</v>
      </c>
      <c r="Q76" t="str">
        <f>VLOOKUP(Tabelle1[[#This Row],[Assist]],Tabelle1[[ISO-alpha3 Code]:[Country/Area]],2,FALSE)</f>
        <v>Denmark</v>
      </c>
      <c r="R76" t="str">
        <f>Tabelle1[[#This Row],[Country/Area]]</f>
        <v>Faroe Islands</v>
      </c>
    </row>
    <row r="77" spans="1:18" x14ac:dyDescent="0.35">
      <c r="A77" s="2">
        <v>19</v>
      </c>
      <c r="B77" t="s">
        <v>190</v>
      </c>
      <c r="C77" s="3" t="s">
        <v>302</v>
      </c>
      <c r="D77" s="2">
        <v>419</v>
      </c>
      <c r="E77" t="s">
        <v>191</v>
      </c>
      <c r="F77" s="2">
        <v>5</v>
      </c>
      <c r="G77" t="s">
        <v>302</v>
      </c>
      <c r="H77" s="4" t="s">
        <v>810</v>
      </c>
      <c r="I77" t="s">
        <v>326</v>
      </c>
      <c r="J77" t="s">
        <v>324</v>
      </c>
      <c r="K77" s="2">
        <v>238</v>
      </c>
      <c r="L77" t="s">
        <v>325</v>
      </c>
      <c r="M77" s="3" t="s">
        <v>19</v>
      </c>
      <c r="N77" s="3"/>
      <c r="O77" s="3" t="s">
        <v>605</v>
      </c>
      <c r="P77" t="str">
        <f>IF(Tabelle1[[#This Row],[UN Sovereign States (bool)]]="x", Tabelle1[[#This Row],[ISO-alpha3 Code]], Tabelle1[[#This Row],[Occupier]])</f>
        <v>GBR</v>
      </c>
      <c r="Q77" t="str">
        <f>VLOOKUP(Tabelle1[[#This Row],[Assist]],Tabelle1[[ISO-alpha3 Code]:[Country/Area]],2,FALSE)</f>
        <v>United Kingdom of Great Britain and Northern Ireland</v>
      </c>
      <c r="R77" t="str">
        <f>Tabelle1[[#This Row],[Country/Area]]</f>
        <v>Falkland Islands (Malvinas)</v>
      </c>
    </row>
    <row r="78" spans="1:18" x14ac:dyDescent="0.35">
      <c r="A78" s="2">
        <v>19</v>
      </c>
      <c r="B78" t="s">
        <v>190</v>
      </c>
      <c r="C78" s="3" t="s">
        <v>302</v>
      </c>
      <c r="D78" s="2">
        <v>419</v>
      </c>
      <c r="E78" t="s">
        <v>191</v>
      </c>
      <c r="F78" s="2">
        <v>5</v>
      </c>
      <c r="G78" t="s">
        <v>302</v>
      </c>
      <c r="H78" s="4" t="s">
        <v>810</v>
      </c>
      <c r="I78" t="s">
        <v>341</v>
      </c>
      <c r="J78" t="s">
        <v>339</v>
      </c>
      <c r="K78" s="2">
        <v>239</v>
      </c>
      <c r="L78" t="s">
        <v>340</v>
      </c>
      <c r="M78" s="3" t="s">
        <v>19</v>
      </c>
      <c r="N78" s="3"/>
      <c r="O78" s="3" t="s">
        <v>605</v>
      </c>
      <c r="P78" t="str">
        <f>IF(Tabelle1[[#This Row],[UN Sovereign States (bool)]]="x", Tabelle1[[#This Row],[ISO-alpha3 Code]], Tabelle1[[#This Row],[Occupier]])</f>
        <v>GBR</v>
      </c>
      <c r="Q78" t="str">
        <f>VLOOKUP(Tabelle1[[#This Row],[Assist]],Tabelle1[[ISO-alpha3 Code]:[Country/Area]],2,FALSE)</f>
        <v>United Kingdom of Great Britain and Northern Ireland</v>
      </c>
      <c r="R78" t="str">
        <f>Tabelle1[[#This Row],[Country/Area]]</f>
        <v>South Georgia and the South Sandwich Islands</v>
      </c>
    </row>
    <row r="79" spans="1:18" x14ac:dyDescent="0.35">
      <c r="A79" s="2">
        <v>9</v>
      </c>
      <c r="B79" t="s">
        <v>683</v>
      </c>
      <c r="C79" t="s">
        <v>683</v>
      </c>
      <c r="D79" s="2">
        <v>54</v>
      </c>
      <c r="E79" t="s">
        <v>703</v>
      </c>
      <c r="F79" s="2">
        <v>54</v>
      </c>
      <c r="G79" t="s">
        <v>703</v>
      </c>
      <c r="H79" s="2" t="s">
        <v>788</v>
      </c>
      <c r="I79" t="s">
        <v>706</v>
      </c>
      <c r="J79" t="s">
        <v>704</v>
      </c>
      <c r="K79" s="2">
        <v>242</v>
      </c>
      <c r="L79" t="s">
        <v>705</v>
      </c>
      <c r="M79" s="3" t="s">
        <v>19</v>
      </c>
      <c r="N79" s="3" t="s">
        <v>19</v>
      </c>
      <c r="P79" t="str">
        <f>IF(Tabelle1[[#This Row],[UN Sovereign States (bool)]]="x", Tabelle1[[#This Row],[ISO-alpha3 Code]], Tabelle1[[#This Row],[Occupier]])</f>
        <v>FJI</v>
      </c>
      <c r="Q79" t="str">
        <f>VLOOKUP(Tabelle1[[#This Row],[Assist]],Tabelle1[[ISO-alpha3 Code]:[Country/Area]],2,FALSE)</f>
        <v>Fiji</v>
      </c>
      <c r="R79" t="str">
        <f>Tabelle1[[#This Row],[Country/Area]]</f>
        <v>Fiji</v>
      </c>
    </row>
    <row r="80" spans="1:18" x14ac:dyDescent="0.35">
      <c r="A80" s="2">
        <v>150</v>
      </c>
      <c r="B80" t="s">
        <v>525</v>
      </c>
      <c r="C80" t="s">
        <v>525</v>
      </c>
      <c r="D80" s="2">
        <v>154</v>
      </c>
      <c r="E80" t="s">
        <v>557</v>
      </c>
      <c r="F80" s="2">
        <v>154</v>
      </c>
      <c r="G80" t="s">
        <v>557</v>
      </c>
      <c r="H80" s="2" t="s">
        <v>790</v>
      </c>
      <c r="I80" t="s">
        <v>572</v>
      </c>
      <c r="J80" t="s">
        <v>570</v>
      </c>
      <c r="K80" s="2">
        <v>246</v>
      </c>
      <c r="L80" t="s">
        <v>571</v>
      </c>
      <c r="M80" s="3" t="s">
        <v>19</v>
      </c>
      <c r="N80" s="3" t="s">
        <v>19</v>
      </c>
      <c r="P80" t="str">
        <f>IF(Tabelle1[[#This Row],[UN Sovereign States (bool)]]="x", Tabelle1[[#This Row],[ISO-alpha3 Code]], Tabelle1[[#This Row],[Occupier]])</f>
        <v>FIN</v>
      </c>
      <c r="Q80" t="str">
        <f>VLOOKUP(Tabelle1[[#This Row],[Assist]],Tabelle1[[ISO-alpha3 Code]:[Country/Area]],2,FALSE)</f>
        <v>Finland</v>
      </c>
      <c r="R80" t="str">
        <f>Tabelle1[[#This Row],[Country/Area]]</f>
        <v>Finland</v>
      </c>
    </row>
    <row r="81" spans="1:18" x14ac:dyDescent="0.35">
      <c r="A81" s="2">
        <v>150</v>
      </c>
      <c r="B81" t="s">
        <v>525</v>
      </c>
      <c r="C81" t="s">
        <v>525</v>
      </c>
      <c r="D81" s="2">
        <v>154</v>
      </c>
      <c r="E81" t="s">
        <v>557</v>
      </c>
      <c r="F81" s="2">
        <v>154</v>
      </c>
      <c r="G81" t="s">
        <v>557</v>
      </c>
      <c r="H81" s="2" t="s">
        <v>790</v>
      </c>
      <c r="I81" t="s">
        <v>560</v>
      </c>
      <c r="J81" t="s">
        <v>558</v>
      </c>
      <c r="K81" s="2">
        <v>248</v>
      </c>
      <c r="L81" t="s">
        <v>559</v>
      </c>
      <c r="M81" s="3" t="s">
        <v>19</v>
      </c>
      <c r="N81" s="3"/>
      <c r="O81" s="3" t="s">
        <v>563</v>
      </c>
      <c r="P81" t="str">
        <f>IF(Tabelle1[[#This Row],[UN Sovereign States (bool)]]="x", Tabelle1[[#This Row],[ISO-alpha3 Code]], Tabelle1[[#This Row],[Occupier]])</f>
        <v>DNK</v>
      </c>
      <c r="Q81" t="str">
        <f>VLOOKUP(Tabelle1[[#This Row],[Assist]],Tabelle1[[ISO-alpha3 Code]:[Country/Area]],2,FALSE)</f>
        <v>Denmark</v>
      </c>
      <c r="R81" t="str">
        <f>Tabelle1[[#This Row],[Country/Area]]</f>
        <v>Åland Islands</v>
      </c>
    </row>
    <row r="82" spans="1:18" x14ac:dyDescent="0.35">
      <c r="A82" s="2">
        <v>150</v>
      </c>
      <c r="B82" t="s">
        <v>525</v>
      </c>
      <c r="C82" t="s">
        <v>525</v>
      </c>
      <c r="D82" s="2">
        <v>155</v>
      </c>
      <c r="E82" t="s">
        <v>655</v>
      </c>
      <c r="F82" s="2">
        <v>155</v>
      </c>
      <c r="G82" t="s">
        <v>655</v>
      </c>
      <c r="H82" s="4" t="s">
        <v>790</v>
      </c>
      <c r="I82" t="s">
        <v>664</v>
      </c>
      <c r="J82" t="s">
        <v>662</v>
      </c>
      <c r="K82" s="2">
        <v>250</v>
      </c>
      <c r="L82" t="s">
        <v>663</v>
      </c>
      <c r="M82" s="3" t="s">
        <v>19</v>
      </c>
      <c r="N82" s="3" t="s">
        <v>19</v>
      </c>
      <c r="P82" t="str">
        <f>IF(Tabelle1[[#This Row],[UN Sovereign States (bool)]]="x", Tabelle1[[#This Row],[ISO-alpha3 Code]], Tabelle1[[#This Row],[Occupier]])</f>
        <v>FRA</v>
      </c>
      <c r="Q82" t="str">
        <f>VLOOKUP(Tabelle1[[#This Row],[Assist]],Tabelle1[[ISO-alpha3 Code]:[Country/Area]],2,FALSE)</f>
        <v>France</v>
      </c>
      <c r="R82" t="str">
        <f>Tabelle1[[#This Row],[Country/Area]]</f>
        <v>France</v>
      </c>
    </row>
    <row r="83" spans="1:18" x14ac:dyDescent="0.35">
      <c r="A83" s="2">
        <v>19</v>
      </c>
      <c r="B83" t="s">
        <v>190</v>
      </c>
      <c r="C83" s="3" t="s">
        <v>302</v>
      </c>
      <c r="D83" s="2">
        <v>419</v>
      </c>
      <c r="E83" t="s">
        <v>191</v>
      </c>
      <c r="F83" s="2">
        <v>5</v>
      </c>
      <c r="G83" t="s">
        <v>302</v>
      </c>
      <c r="H83" s="2" t="s">
        <v>795</v>
      </c>
      <c r="I83" t="s">
        <v>329</v>
      </c>
      <c r="J83" t="s">
        <v>327</v>
      </c>
      <c r="K83" s="2">
        <v>254</v>
      </c>
      <c r="L83" t="s">
        <v>328</v>
      </c>
      <c r="M83" s="3" t="s">
        <v>19</v>
      </c>
      <c r="N83" s="3"/>
      <c r="O83" s="3" t="s">
        <v>664</v>
      </c>
      <c r="P83" t="str">
        <f>IF(Tabelle1[[#This Row],[UN Sovereign States (bool)]]="x", Tabelle1[[#This Row],[ISO-alpha3 Code]], Tabelle1[[#This Row],[Occupier]])</f>
        <v>FRA</v>
      </c>
      <c r="Q83" t="str">
        <f>VLOOKUP(Tabelle1[[#This Row],[Assist]],Tabelle1[[ISO-alpha3 Code]:[Country/Area]],2,FALSE)</f>
        <v>France</v>
      </c>
      <c r="R83" t="str">
        <f>Tabelle1[[#This Row],[Country/Area]]</f>
        <v>French Guiana</v>
      </c>
    </row>
    <row r="84" spans="1:18" x14ac:dyDescent="0.35">
      <c r="A84" s="2">
        <v>9</v>
      </c>
      <c r="B84" t="s">
        <v>683</v>
      </c>
      <c r="C84" t="s">
        <v>683</v>
      </c>
      <c r="D84" s="2">
        <v>61</v>
      </c>
      <c r="E84" t="s">
        <v>744</v>
      </c>
      <c r="F84" s="2">
        <v>61</v>
      </c>
      <c r="G84" t="s">
        <v>744</v>
      </c>
      <c r="H84" s="2" t="s">
        <v>788</v>
      </c>
      <c r="I84" t="s">
        <v>753</v>
      </c>
      <c r="J84" t="s">
        <v>751</v>
      </c>
      <c r="K84" s="2">
        <v>258</v>
      </c>
      <c r="L84" t="s">
        <v>752</v>
      </c>
      <c r="M84" s="3" t="s">
        <v>19</v>
      </c>
      <c r="N84" s="3"/>
      <c r="O84" s="3" t="s">
        <v>664</v>
      </c>
      <c r="P84" t="str">
        <f>IF(Tabelle1[[#This Row],[UN Sovereign States (bool)]]="x", Tabelle1[[#This Row],[ISO-alpha3 Code]], Tabelle1[[#This Row],[Occupier]])</f>
        <v>FRA</v>
      </c>
      <c r="Q84" t="str">
        <f>VLOOKUP(Tabelle1[[#This Row],[Assist]],Tabelle1[[ISO-alpha3 Code]:[Country/Area]],2,FALSE)</f>
        <v>France</v>
      </c>
      <c r="R84" t="str">
        <f>Tabelle1[[#This Row],[Country/Area]]</f>
        <v>French Polynesia</v>
      </c>
    </row>
    <row r="85" spans="1:18" x14ac:dyDescent="0.35">
      <c r="A85" s="2">
        <v>2</v>
      </c>
      <c r="B85" t="s">
        <v>2</v>
      </c>
      <c r="C85" t="s">
        <v>2</v>
      </c>
      <c r="D85" s="2">
        <v>202</v>
      </c>
      <c r="E85" t="s">
        <v>26</v>
      </c>
      <c r="F85" s="2">
        <v>14</v>
      </c>
      <c r="G85" t="s">
        <v>27</v>
      </c>
      <c r="H85" s="2" t="s">
        <v>367</v>
      </c>
      <c r="I85" t="s">
        <v>48</v>
      </c>
      <c r="J85" t="s">
        <v>46</v>
      </c>
      <c r="K85" s="2">
        <v>260</v>
      </c>
      <c r="L85" t="s">
        <v>47</v>
      </c>
      <c r="M85" s="3" t="s">
        <v>19</v>
      </c>
      <c r="N85" s="3"/>
      <c r="O85" s="3" t="s">
        <v>664</v>
      </c>
      <c r="P85" t="str">
        <f>IF(Tabelle1[[#This Row],[UN Sovereign States (bool)]]="x", Tabelle1[[#This Row],[ISO-alpha3 Code]], Tabelle1[[#This Row],[Occupier]])</f>
        <v>FRA</v>
      </c>
      <c r="Q85" t="str">
        <f>VLOOKUP(Tabelle1[[#This Row],[Assist]],Tabelle1[[ISO-alpha3 Code]:[Country/Area]],2,FALSE)</f>
        <v>France</v>
      </c>
      <c r="R85" t="str">
        <f>Tabelle1[[#This Row],[Country/Area]]</f>
        <v>French Southern Territories</v>
      </c>
    </row>
    <row r="86" spans="1:18" x14ac:dyDescent="0.35">
      <c r="A86" s="2">
        <v>2</v>
      </c>
      <c r="B86" t="s">
        <v>2</v>
      </c>
      <c r="C86" t="s">
        <v>2</v>
      </c>
      <c r="D86" s="2">
        <v>202</v>
      </c>
      <c r="E86" t="s">
        <v>26</v>
      </c>
      <c r="F86" s="2">
        <v>14</v>
      </c>
      <c r="G86" t="s">
        <v>27</v>
      </c>
      <c r="H86" s="2" t="s">
        <v>781</v>
      </c>
      <c r="I86" t="s">
        <v>39</v>
      </c>
      <c r="J86" t="s">
        <v>37</v>
      </c>
      <c r="K86" s="2">
        <v>262</v>
      </c>
      <c r="L86" t="s">
        <v>38</v>
      </c>
      <c r="M86" s="3" t="s">
        <v>19</v>
      </c>
      <c r="N86" s="3" t="s">
        <v>19</v>
      </c>
      <c r="P86" t="str">
        <f>IF(Tabelle1[[#This Row],[UN Sovereign States (bool)]]="x", Tabelle1[[#This Row],[ISO-alpha3 Code]], Tabelle1[[#This Row],[Occupier]])</f>
        <v>DJI</v>
      </c>
      <c r="Q86" t="str">
        <f>VLOOKUP(Tabelle1[[#This Row],[Assist]],Tabelle1[[ISO-alpha3 Code]:[Country/Area]],2,FALSE)</f>
        <v>Djibouti</v>
      </c>
      <c r="R86" t="str">
        <f>Tabelle1[[#This Row],[Country/Area]]</f>
        <v>Djibouti</v>
      </c>
    </row>
    <row r="87" spans="1:18" x14ac:dyDescent="0.35">
      <c r="A87" s="2">
        <v>2</v>
      </c>
      <c r="B87" t="s">
        <v>2</v>
      </c>
      <c r="C87" t="s">
        <v>2</v>
      </c>
      <c r="D87" s="2">
        <v>202</v>
      </c>
      <c r="E87" t="s">
        <v>26</v>
      </c>
      <c r="F87" s="2">
        <v>17</v>
      </c>
      <c r="G87" t="s">
        <v>94</v>
      </c>
      <c r="H87" s="2" t="s">
        <v>784</v>
      </c>
      <c r="I87" t="s">
        <v>118</v>
      </c>
      <c r="J87" t="s">
        <v>116</v>
      </c>
      <c r="K87" s="2">
        <v>266</v>
      </c>
      <c r="L87" t="s">
        <v>117</v>
      </c>
      <c r="M87" s="3" t="s">
        <v>19</v>
      </c>
      <c r="N87" s="3" t="s">
        <v>19</v>
      </c>
      <c r="P87" t="str">
        <f>IF(Tabelle1[[#This Row],[UN Sovereign States (bool)]]="x", Tabelle1[[#This Row],[ISO-alpha3 Code]], Tabelle1[[#This Row],[Occupier]])</f>
        <v>GAB</v>
      </c>
      <c r="Q87" t="str">
        <f>VLOOKUP(Tabelle1[[#This Row],[Assist]],Tabelle1[[ISO-alpha3 Code]:[Country/Area]],2,FALSE)</f>
        <v>Gabon</v>
      </c>
      <c r="R87" t="str">
        <f>Tabelle1[[#This Row],[Country/Area]]</f>
        <v>Gabon</v>
      </c>
    </row>
    <row r="88" spans="1:18" x14ac:dyDescent="0.35">
      <c r="A88" s="2">
        <v>142</v>
      </c>
      <c r="B88" t="s">
        <v>370</v>
      </c>
      <c r="C88" t="s">
        <v>370</v>
      </c>
      <c r="D88" s="2">
        <v>145</v>
      </c>
      <c r="E88" t="s">
        <v>471</v>
      </c>
      <c r="F88" s="2">
        <v>145</v>
      </c>
      <c r="G88" t="s">
        <v>471</v>
      </c>
      <c r="H88" s="2" t="s">
        <v>789</v>
      </c>
      <c r="I88" t="s">
        <v>486</v>
      </c>
      <c r="J88" t="s">
        <v>484</v>
      </c>
      <c r="K88" s="2">
        <v>268</v>
      </c>
      <c r="L88" t="s">
        <v>485</v>
      </c>
      <c r="M88" s="3" t="s">
        <v>19</v>
      </c>
      <c r="N88" s="3" t="s">
        <v>19</v>
      </c>
      <c r="P88" t="str">
        <f>IF(Tabelle1[[#This Row],[UN Sovereign States (bool)]]="x", Tabelle1[[#This Row],[ISO-alpha3 Code]], Tabelle1[[#This Row],[Occupier]])</f>
        <v>GEO</v>
      </c>
      <c r="Q88" t="str">
        <f>VLOOKUP(Tabelle1[[#This Row],[Assist]],Tabelle1[[ISO-alpha3 Code]:[Country/Area]],2,FALSE)</f>
        <v>Georgia</v>
      </c>
      <c r="R88" t="str">
        <f>Tabelle1[[#This Row],[Country/Area]]</f>
        <v>Georgia</v>
      </c>
    </row>
    <row r="89" spans="1:18" x14ac:dyDescent="0.35">
      <c r="A89" s="2">
        <v>2</v>
      </c>
      <c r="B89" t="s">
        <v>2</v>
      </c>
      <c r="C89" t="s">
        <v>2</v>
      </c>
      <c r="D89" s="2">
        <v>202</v>
      </c>
      <c r="E89" t="s">
        <v>26</v>
      </c>
      <c r="F89" s="2">
        <v>11</v>
      </c>
      <c r="G89" t="s">
        <v>138</v>
      </c>
      <c r="H89" s="2" t="s">
        <v>784</v>
      </c>
      <c r="I89" t="s">
        <v>153</v>
      </c>
      <c r="J89" t="s">
        <v>151</v>
      </c>
      <c r="K89" s="2">
        <v>270</v>
      </c>
      <c r="L89" t="s">
        <v>152</v>
      </c>
      <c r="M89" s="3" t="s">
        <v>19</v>
      </c>
      <c r="N89" s="3" t="s">
        <v>19</v>
      </c>
      <c r="P89" t="str">
        <f>IF(Tabelle1[[#This Row],[UN Sovereign States (bool)]]="x", Tabelle1[[#This Row],[ISO-alpha3 Code]], Tabelle1[[#This Row],[Occupier]])</f>
        <v>GMB</v>
      </c>
      <c r="Q89" t="str">
        <f>VLOOKUP(Tabelle1[[#This Row],[Assist]],Tabelle1[[ISO-alpha3 Code]:[Country/Area]],2,FALSE)</f>
        <v>Gambia</v>
      </c>
      <c r="R89" t="str">
        <f>Tabelle1[[#This Row],[Country/Area]]</f>
        <v>Gambia</v>
      </c>
    </row>
    <row r="90" spans="1:18" x14ac:dyDescent="0.35">
      <c r="A90" s="2">
        <v>142</v>
      </c>
      <c r="B90" t="s">
        <v>370</v>
      </c>
      <c r="C90" t="s">
        <v>370</v>
      </c>
      <c r="D90" s="2">
        <v>145</v>
      </c>
      <c r="E90" t="s">
        <v>471</v>
      </c>
      <c r="F90" s="2">
        <v>145</v>
      </c>
      <c r="G90" t="s">
        <v>471</v>
      </c>
      <c r="H90" s="2" t="s">
        <v>802</v>
      </c>
      <c r="I90" t="s">
        <v>512</v>
      </c>
      <c r="J90" s="3" t="s">
        <v>821</v>
      </c>
      <c r="K90" s="2">
        <v>275</v>
      </c>
      <c r="L90" t="s">
        <v>511</v>
      </c>
      <c r="M90" s="3" t="s">
        <v>19</v>
      </c>
      <c r="O90" s="3"/>
      <c r="P90">
        <f>IF(Tabelle1[[#This Row],[UN Sovereign States (bool)]]="x", Tabelle1[[#This Row],[ISO-alpha3 Code]], Tabelle1[[#This Row],[Occupier]])</f>
        <v>0</v>
      </c>
      <c r="Q90" t="e">
        <f>VLOOKUP(Tabelle1[[#This Row],[Assist]],Tabelle1[[ISO-alpha3 Code]:[Country/Area]],2,FALSE)</f>
        <v>#N/A</v>
      </c>
      <c r="R90" t="str">
        <f>Tabelle1[[#This Row],[Country/Area]]</f>
        <v>State of Palestine</v>
      </c>
    </row>
    <row r="91" spans="1:18" x14ac:dyDescent="0.35">
      <c r="A91" s="2">
        <v>150</v>
      </c>
      <c r="B91" t="s">
        <v>525</v>
      </c>
      <c r="C91" t="s">
        <v>525</v>
      </c>
      <c r="D91" s="2">
        <v>155</v>
      </c>
      <c r="E91" t="s">
        <v>655</v>
      </c>
      <c r="F91" s="2">
        <v>155</v>
      </c>
      <c r="G91" t="s">
        <v>655</v>
      </c>
      <c r="H91" s="4" t="s">
        <v>790</v>
      </c>
      <c r="I91" t="s">
        <v>667</v>
      </c>
      <c r="J91" t="s">
        <v>665</v>
      </c>
      <c r="K91" s="2">
        <v>276</v>
      </c>
      <c r="L91" t="s">
        <v>666</v>
      </c>
      <c r="M91" s="3" t="s">
        <v>19</v>
      </c>
      <c r="N91" s="3" t="s">
        <v>19</v>
      </c>
      <c r="P91" t="str">
        <f>IF(Tabelle1[[#This Row],[UN Sovereign States (bool)]]="x", Tabelle1[[#This Row],[ISO-alpha3 Code]], Tabelle1[[#This Row],[Occupier]])</f>
        <v>DEU</v>
      </c>
      <c r="Q91" t="str">
        <f>VLOOKUP(Tabelle1[[#This Row],[Assist]],Tabelle1[[ISO-alpha3 Code]:[Country/Area]],2,FALSE)</f>
        <v>Germany</v>
      </c>
      <c r="R91" t="str">
        <f>Tabelle1[[#This Row],[Country/Area]]</f>
        <v>Germany</v>
      </c>
    </row>
    <row r="92" spans="1:18" x14ac:dyDescent="0.35">
      <c r="A92" s="2">
        <v>2</v>
      </c>
      <c r="B92" t="s">
        <v>2</v>
      </c>
      <c r="C92" t="s">
        <v>2</v>
      </c>
      <c r="D92" s="2">
        <v>202</v>
      </c>
      <c r="E92" t="s">
        <v>26</v>
      </c>
      <c r="F92" s="2">
        <v>11</v>
      </c>
      <c r="G92" t="s">
        <v>138</v>
      </c>
      <c r="H92" s="2" t="s">
        <v>784</v>
      </c>
      <c r="I92" t="s">
        <v>156</v>
      </c>
      <c r="J92" t="s">
        <v>154</v>
      </c>
      <c r="K92" s="2">
        <v>288</v>
      </c>
      <c r="L92" t="s">
        <v>155</v>
      </c>
      <c r="M92" s="3" t="s">
        <v>19</v>
      </c>
      <c r="N92" s="3" t="s">
        <v>19</v>
      </c>
      <c r="P92" t="str">
        <f>IF(Tabelle1[[#This Row],[UN Sovereign States (bool)]]="x", Tabelle1[[#This Row],[ISO-alpha3 Code]], Tabelle1[[#This Row],[Occupier]])</f>
        <v>GHA</v>
      </c>
      <c r="Q92" t="str">
        <f>VLOOKUP(Tabelle1[[#This Row],[Assist]],Tabelle1[[ISO-alpha3 Code]:[Country/Area]],2,FALSE)</f>
        <v>Ghana</v>
      </c>
      <c r="R92" t="str">
        <f>Tabelle1[[#This Row],[Country/Area]]</f>
        <v>Ghana</v>
      </c>
    </row>
    <row r="93" spans="1:18" x14ac:dyDescent="0.35">
      <c r="A93" s="2">
        <v>150</v>
      </c>
      <c r="B93" t="s">
        <v>525</v>
      </c>
      <c r="C93" t="s">
        <v>525</v>
      </c>
      <c r="D93" s="2">
        <v>39</v>
      </c>
      <c r="E93" t="s">
        <v>606</v>
      </c>
      <c r="F93" s="2">
        <v>39</v>
      </c>
      <c r="G93" t="s">
        <v>606</v>
      </c>
      <c r="H93" s="4" t="s">
        <v>791</v>
      </c>
      <c r="I93" t="s">
        <v>621</v>
      </c>
      <c r="J93" t="s">
        <v>619</v>
      </c>
      <c r="K93" s="2">
        <v>292</v>
      </c>
      <c r="L93" t="s">
        <v>620</v>
      </c>
      <c r="M93" s="3" t="s">
        <v>19</v>
      </c>
      <c r="N93" s="3"/>
      <c r="O93" s="3" t="s">
        <v>605</v>
      </c>
      <c r="P93" t="str">
        <f>IF(Tabelle1[[#This Row],[UN Sovereign States (bool)]]="x", Tabelle1[[#This Row],[ISO-alpha3 Code]], Tabelle1[[#This Row],[Occupier]])</f>
        <v>GBR</v>
      </c>
      <c r="Q93" t="str">
        <f>VLOOKUP(Tabelle1[[#This Row],[Assist]],Tabelle1[[ISO-alpha3 Code]:[Country/Area]],2,FALSE)</f>
        <v>United Kingdom of Great Britain and Northern Ireland</v>
      </c>
      <c r="R93" t="str">
        <f>Tabelle1[[#This Row],[Country/Area]]</f>
        <v>Gibraltar</v>
      </c>
    </row>
    <row r="94" spans="1:18" x14ac:dyDescent="0.35">
      <c r="A94" s="2">
        <v>9</v>
      </c>
      <c r="B94" t="s">
        <v>683</v>
      </c>
      <c r="C94" t="s">
        <v>683</v>
      </c>
      <c r="D94" s="2">
        <v>57</v>
      </c>
      <c r="E94" t="s">
        <v>719</v>
      </c>
      <c r="F94" s="2">
        <v>57</v>
      </c>
      <c r="G94" t="s">
        <v>719</v>
      </c>
      <c r="H94" s="2" t="s">
        <v>788</v>
      </c>
      <c r="I94" t="s">
        <v>725</v>
      </c>
      <c r="J94" t="s">
        <v>723</v>
      </c>
      <c r="K94" s="2">
        <v>296</v>
      </c>
      <c r="L94" t="s">
        <v>724</v>
      </c>
      <c r="M94" s="3" t="s">
        <v>19</v>
      </c>
      <c r="N94" s="3" t="s">
        <v>19</v>
      </c>
      <c r="P94" t="str">
        <f>IF(Tabelle1[[#This Row],[UN Sovereign States (bool)]]="x", Tabelle1[[#This Row],[ISO-alpha3 Code]], Tabelle1[[#This Row],[Occupier]])</f>
        <v>KIR</v>
      </c>
      <c r="Q94" t="str">
        <f>VLOOKUP(Tabelle1[[#This Row],[Assist]],Tabelle1[[ISO-alpha3 Code]:[Country/Area]],2,FALSE)</f>
        <v>Kiribati</v>
      </c>
      <c r="R94" t="str">
        <f>Tabelle1[[#This Row],[Country/Area]]</f>
        <v>Kiribati</v>
      </c>
    </row>
    <row r="95" spans="1:18" x14ac:dyDescent="0.35">
      <c r="A95" s="2">
        <v>150</v>
      </c>
      <c r="B95" t="s">
        <v>525</v>
      </c>
      <c r="C95" t="s">
        <v>525</v>
      </c>
      <c r="D95" s="2">
        <v>39</v>
      </c>
      <c r="E95" t="s">
        <v>606</v>
      </c>
      <c r="F95" s="2">
        <v>39</v>
      </c>
      <c r="G95" t="s">
        <v>606</v>
      </c>
      <c r="H95" s="4" t="s">
        <v>791</v>
      </c>
      <c r="I95" t="s">
        <v>624</v>
      </c>
      <c r="J95" t="s">
        <v>622</v>
      </c>
      <c r="K95" s="2">
        <v>300</v>
      </c>
      <c r="L95" t="s">
        <v>623</v>
      </c>
      <c r="M95" s="3" t="s">
        <v>19</v>
      </c>
      <c r="N95" s="3" t="s">
        <v>19</v>
      </c>
      <c r="P95" t="str">
        <f>IF(Tabelle1[[#This Row],[UN Sovereign States (bool)]]="x", Tabelle1[[#This Row],[ISO-alpha3 Code]], Tabelle1[[#This Row],[Occupier]])</f>
        <v>GRC</v>
      </c>
      <c r="Q95" t="str">
        <f>VLOOKUP(Tabelle1[[#This Row],[Assist]],Tabelle1[[ISO-alpha3 Code]:[Country/Area]],2,FALSE)</f>
        <v>Greece</v>
      </c>
      <c r="R95" t="str">
        <f>Tabelle1[[#This Row],[Country/Area]]</f>
        <v>Greece</v>
      </c>
    </row>
    <row r="96" spans="1:18" x14ac:dyDescent="0.35">
      <c r="A96" s="2">
        <v>19</v>
      </c>
      <c r="B96" t="s">
        <v>190</v>
      </c>
      <c r="C96" s="3" t="s">
        <v>778</v>
      </c>
      <c r="D96" s="2">
        <v>21</v>
      </c>
      <c r="E96" t="s">
        <v>351</v>
      </c>
      <c r="F96" s="2">
        <v>21</v>
      </c>
      <c r="G96" t="s">
        <v>351</v>
      </c>
      <c r="H96" s="2" t="s">
        <v>778</v>
      </c>
      <c r="I96" t="s">
        <v>360</v>
      </c>
      <c r="J96" t="s">
        <v>358</v>
      </c>
      <c r="K96" s="2">
        <v>304</v>
      </c>
      <c r="L96" t="s">
        <v>359</v>
      </c>
      <c r="M96" s="3" t="s">
        <v>19</v>
      </c>
      <c r="N96" s="3"/>
      <c r="O96" s="3" t="s">
        <v>563</v>
      </c>
      <c r="P96" t="str">
        <f>IF(Tabelle1[[#This Row],[UN Sovereign States (bool)]]="x", Tabelle1[[#This Row],[ISO-alpha3 Code]], Tabelle1[[#This Row],[Occupier]])</f>
        <v>DNK</v>
      </c>
      <c r="Q96" t="str">
        <f>VLOOKUP(Tabelle1[[#This Row],[Assist]],Tabelle1[[ISO-alpha3 Code]:[Country/Area]],2,FALSE)</f>
        <v>Denmark</v>
      </c>
      <c r="R96" t="str">
        <f>Tabelle1[[#This Row],[Country/Area]]</f>
        <v>Greenland</v>
      </c>
    </row>
    <row r="97" spans="1:18" x14ac:dyDescent="0.35">
      <c r="A97" s="2">
        <v>19</v>
      </c>
      <c r="B97" t="s">
        <v>190</v>
      </c>
      <c r="C97" s="3" t="s">
        <v>778</v>
      </c>
      <c r="D97" s="2">
        <v>419</v>
      </c>
      <c r="E97" t="s">
        <v>191</v>
      </c>
      <c r="F97" s="2">
        <v>29</v>
      </c>
      <c r="G97" t="s">
        <v>192</v>
      </c>
      <c r="H97" t="s">
        <v>192</v>
      </c>
      <c r="I97" t="s">
        <v>231</v>
      </c>
      <c r="J97" t="s">
        <v>229</v>
      </c>
      <c r="K97" s="2">
        <v>308</v>
      </c>
      <c r="L97" t="s">
        <v>230</v>
      </c>
      <c r="M97" s="3" t="s">
        <v>19</v>
      </c>
      <c r="N97" s="3" t="s">
        <v>19</v>
      </c>
      <c r="P97" t="str">
        <f>IF(Tabelle1[[#This Row],[UN Sovereign States (bool)]]="x", Tabelle1[[#This Row],[ISO-alpha3 Code]], Tabelle1[[#This Row],[Occupier]])</f>
        <v>GRD</v>
      </c>
      <c r="Q97" t="str">
        <f>VLOOKUP(Tabelle1[[#This Row],[Assist]],Tabelle1[[ISO-alpha3 Code]:[Country/Area]],2,FALSE)</f>
        <v>Grenada</v>
      </c>
      <c r="R97" t="str">
        <f>Tabelle1[[#This Row],[Country/Area]]</f>
        <v>Grenada</v>
      </c>
    </row>
    <row r="98" spans="1:18" x14ac:dyDescent="0.35">
      <c r="A98" s="2">
        <v>19</v>
      </c>
      <c r="B98" t="s">
        <v>190</v>
      </c>
      <c r="C98" s="3" t="s">
        <v>778</v>
      </c>
      <c r="D98" s="2">
        <v>419</v>
      </c>
      <c r="E98" t="s">
        <v>191</v>
      </c>
      <c r="F98" s="2">
        <v>29</v>
      </c>
      <c r="G98" t="s">
        <v>192</v>
      </c>
      <c r="H98" t="s">
        <v>192</v>
      </c>
      <c r="I98" t="s">
        <v>234</v>
      </c>
      <c r="J98" t="s">
        <v>232</v>
      </c>
      <c r="K98" s="2">
        <v>312</v>
      </c>
      <c r="L98" t="s">
        <v>233</v>
      </c>
      <c r="M98" s="3" t="s">
        <v>19</v>
      </c>
      <c r="N98" s="3"/>
      <c r="O98" s="3" t="s">
        <v>664</v>
      </c>
      <c r="P98" t="str">
        <f>IF(Tabelle1[[#This Row],[UN Sovereign States (bool)]]="x", Tabelle1[[#This Row],[ISO-alpha3 Code]], Tabelle1[[#This Row],[Occupier]])</f>
        <v>FRA</v>
      </c>
      <c r="Q98" t="str">
        <f>VLOOKUP(Tabelle1[[#This Row],[Assist]],Tabelle1[[ISO-alpha3 Code]:[Country/Area]],2,FALSE)</f>
        <v>France</v>
      </c>
      <c r="R98" t="str">
        <f>Tabelle1[[#This Row],[Country/Area]]</f>
        <v>Guadeloupe</v>
      </c>
    </row>
    <row r="99" spans="1:18" x14ac:dyDescent="0.35">
      <c r="A99" s="2">
        <v>9</v>
      </c>
      <c r="B99" t="s">
        <v>683</v>
      </c>
      <c r="C99" t="s">
        <v>683</v>
      </c>
      <c r="D99" s="2">
        <v>57</v>
      </c>
      <c r="E99" t="s">
        <v>719</v>
      </c>
      <c r="F99" s="2">
        <v>57</v>
      </c>
      <c r="G99" t="s">
        <v>719</v>
      </c>
      <c r="H99" s="2" t="s">
        <v>788</v>
      </c>
      <c r="I99" t="s">
        <v>722</v>
      </c>
      <c r="J99" t="s">
        <v>720</v>
      </c>
      <c r="K99" s="2">
        <v>316</v>
      </c>
      <c r="L99" t="s">
        <v>721</v>
      </c>
      <c r="M99" s="3" t="s">
        <v>19</v>
      </c>
      <c r="N99" s="3"/>
      <c r="O99" s="3" t="s">
        <v>366</v>
      </c>
      <c r="P99" t="str">
        <f>IF(Tabelle1[[#This Row],[UN Sovereign States (bool)]]="x", Tabelle1[[#This Row],[ISO-alpha3 Code]], Tabelle1[[#This Row],[Occupier]])</f>
        <v>USA</v>
      </c>
      <c r="Q99" t="str">
        <f>VLOOKUP(Tabelle1[[#This Row],[Assist]],Tabelle1[[ISO-alpha3 Code]:[Country/Area]],2,FALSE)</f>
        <v>United States of America</v>
      </c>
      <c r="R99" t="str">
        <f>Tabelle1[[#This Row],[Country/Area]]</f>
        <v>Guam</v>
      </c>
    </row>
    <row r="100" spans="1:18" x14ac:dyDescent="0.35">
      <c r="A100" s="2">
        <v>19</v>
      </c>
      <c r="B100" t="s">
        <v>190</v>
      </c>
      <c r="C100" s="3" t="s">
        <v>302</v>
      </c>
      <c r="D100" s="2">
        <v>419</v>
      </c>
      <c r="E100" t="s">
        <v>191</v>
      </c>
      <c r="F100" s="2">
        <v>13</v>
      </c>
      <c r="G100" t="s">
        <v>277</v>
      </c>
      <c r="H100" s="2" t="s">
        <v>277</v>
      </c>
      <c r="I100" t="s">
        <v>289</v>
      </c>
      <c r="J100" t="s">
        <v>287</v>
      </c>
      <c r="K100" s="2">
        <v>320</v>
      </c>
      <c r="L100" t="s">
        <v>288</v>
      </c>
      <c r="M100" s="3" t="s">
        <v>19</v>
      </c>
      <c r="N100" s="3" t="s">
        <v>19</v>
      </c>
      <c r="P100" t="str">
        <f>IF(Tabelle1[[#This Row],[UN Sovereign States (bool)]]="x", Tabelle1[[#This Row],[ISO-alpha3 Code]], Tabelle1[[#This Row],[Occupier]])</f>
        <v>GTM</v>
      </c>
      <c r="Q100" t="str">
        <f>VLOOKUP(Tabelle1[[#This Row],[Assist]],Tabelle1[[ISO-alpha3 Code]:[Country/Area]],2,FALSE)</f>
        <v>Guatemala</v>
      </c>
      <c r="R100" t="str">
        <f>Tabelle1[[#This Row],[Country/Area]]</f>
        <v>Guatemala</v>
      </c>
    </row>
    <row r="101" spans="1:18" x14ac:dyDescent="0.35">
      <c r="A101" s="2">
        <v>2</v>
      </c>
      <c r="B101" t="s">
        <v>2</v>
      </c>
      <c r="C101" t="s">
        <v>2</v>
      </c>
      <c r="D101" s="2">
        <v>202</v>
      </c>
      <c r="E101" t="s">
        <v>26</v>
      </c>
      <c r="F101" s="2">
        <v>11</v>
      </c>
      <c r="G101" t="s">
        <v>138</v>
      </c>
      <c r="H101" s="2" t="s">
        <v>784</v>
      </c>
      <c r="I101" t="s">
        <v>159</v>
      </c>
      <c r="J101" t="s">
        <v>157</v>
      </c>
      <c r="K101" s="2">
        <v>324</v>
      </c>
      <c r="L101" t="s">
        <v>158</v>
      </c>
      <c r="M101" s="3" t="s">
        <v>19</v>
      </c>
      <c r="N101" s="3" t="s">
        <v>19</v>
      </c>
      <c r="P101" t="str">
        <f>IF(Tabelle1[[#This Row],[UN Sovereign States (bool)]]="x", Tabelle1[[#This Row],[ISO-alpha3 Code]], Tabelle1[[#This Row],[Occupier]])</f>
        <v>GIN</v>
      </c>
      <c r="Q101" t="str">
        <f>VLOOKUP(Tabelle1[[#This Row],[Assist]],Tabelle1[[ISO-alpha3 Code]:[Country/Area]],2,FALSE)</f>
        <v>Guinea</v>
      </c>
      <c r="R101" t="str">
        <f>Tabelle1[[#This Row],[Country/Area]]</f>
        <v>Guinea</v>
      </c>
    </row>
    <row r="102" spans="1:18" x14ac:dyDescent="0.35">
      <c r="A102" s="2">
        <v>19</v>
      </c>
      <c r="B102" t="s">
        <v>190</v>
      </c>
      <c r="C102" s="3" t="s">
        <v>302</v>
      </c>
      <c r="D102" s="2">
        <v>419</v>
      </c>
      <c r="E102" t="s">
        <v>191</v>
      </c>
      <c r="F102" s="2">
        <v>5</v>
      </c>
      <c r="G102" t="s">
        <v>302</v>
      </c>
      <c r="H102" s="2" t="s">
        <v>795</v>
      </c>
      <c r="I102" t="s">
        <v>332</v>
      </c>
      <c r="J102" t="s">
        <v>330</v>
      </c>
      <c r="K102" s="2">
        <v>328</v>
      </c>
      <c r="L102" t="s">
        <v>331</v>
      </c>
      <c r="M102" s="3" t="s">
        <v>19</v>
      </c>
      <c r="N102" s="3" t="s">
        <v>19</v>
      </c>
      <c r="P102" t="str">
        <f>IF(Tabelle1[[#This Row],[UN Sovereign States (bool)]]="x", Tabelle1[[#This Row],[ISO-alpha3 Code]], Tabelle1[[#This Row],[Occupier]])</f>
        <v>GUY</v>
      </c>
      <c r="Q102" t="str">
        <f>VLOOKUP(Tabelle1[[#This Row],[Assist]],Tabelle1[[ISO-alpha3 Code]:[Country/Area]],2,FALSE)</f>
        <v>Guyana</v>
      </c>
      <c r="R102" t="str">
        <f>Tabelle1[[#This Row],[Country/Area]]</f>
        <v>Guyana</v>
      </c>
    </row>
    <row r="103" spans="1:18" x14ac:dyDescent="0.35">
      <c r="A103" s="2">
        <v>19</v>
      </c>
      <c r="B103" t="s">
        <v>190</v>
      </c>
      <c r="C103" s="3" t="s">
        <v>778</v>
      </c>
      <c r="D103" s="2">
        <v>419</v>
      </c>
      <c r="E103" t="s">
        <v>191</v>
      </c>
      <c r="F103" s="2">
        <v>29</v>
      </c>
      <c r="G103" t="s">
        <v>192</v>
      </c>
      <c r="H103" t="s">
        <v>192</v>
      </c>
      <c r="I103" t="s">
        <v>237</v>
      </c>
      <c r="J103" t="s">
        <v>235</v>
      </c>
      <c r="K103" s="2">
        <v>332</v>
      </c>
      <c r="L103" t="s">
        <v>236</v>
      </c>
      <c r="M103" s="3" t="s">
        <v>19</v>
      </c>
      <c r="N103" s="3" t="s">
        <v>19</v>
      </c>
      <c r="P103" t="str">
        <f>IF(Tabelle1[[#This Row],[UN Sovereign States (bool)]]="x", Tabelle1[[#This Row],[ISO-alpha3 Code]], Tabelle1[[#This Row],[Occupier]])</f>
        <v>HTI</v>
      </c>
      <c r="Q103" t="str">
        <f>VLOOKUP(Tabelle1[[#This Row],[Assist]],Tabelle1[[ISO-alpha3 Code]:[Country/Area]],2,FALSE)</f>
        <v>Haiti</v>
      </c>
      <c r="R103" t="str">
        <f>Tabelle1[[#This Row],[Country/Area]]</f>
        <v>Haiti</v>
      </c>
    </row>
    <row r="104" spans="1:18" x14ac:dyDescent="0.35">
      <c r="A104" s="2">
        <v>9</v>
      </c>
      <c r="B104" t="s">
        <v>683</v>
      </c>
      <c r="C104" t="s">
        <v>683</v>
      </c>
      <c r="D104" s="2">
        <v>53</v>
      </c>
      <c r="E104" t="s">
        <v>684</v>
      </c>
      <c r="F104" s="2">
        <v>53</v>
      </c>
      <c r="G104" t="s">
        <v>684</v>
      </c>
      <c r="H104" s="4" t="s">
        <v>780</v>
      </c>
      <c r="I104" t="s">
        <v>696</v>
      </c>
      <c r="J104" t="s">
        <v>694</v>
      </c>
      <c r="K104" s="2">
        <v>334</v>
      </c>
      <c r="L104" t="s">
        <v>695</v>
      </c>
      <c r="M104" s="3" t="s">
        <v>19</v>
      </c>
      <c r="N104" s="3"/>
      <c r="O104" s="3" t="s">
        <v>687</v>
      </c>
      <c r="P104" t="str">
        <f>IF(Tabelle1[[#This Row],[UN Sovereign States (bool)]]="x", Tabelle1[[#This Row],[ISO-alpha3 Code]], Tabelle1[[#This Row],[Occupier]])</f>
        <v>AUS</v>
      </c>
      <c r="Q104" t="str">
        <f>VLOOKUP(Tabelle1[[#This Row],[Assist]],Tabelle1[[ISO-alpha3 Code]:[Country/Area]],2,FALSE)</f>
        <v>Australia</v>
      </c>
      <c r="R104" t="str">
        <f>Tabelle1[[#This Row],[Country/Area]]</f>
        <v>Heard Island and McDonald Islands</v>
      </c>
    </row>
    <row r="105" spans="1:18" x14ac:dyDescent="0.35">
      <c r="A105" s="2">
        <v>150</v>
      </c>
      <c r="B105" t="s">
        <v>525</v>
      </c>
      <c r="C105" t="s">
        <v>525</v>
      </c>
      <c r="D105" s="2">
        <v>39</v>
      </c>
      <c r="E105" t="s">
        <v>606</v>
      </c>
      <c r="F105" s="2">
        <v>39</v>
      </c>
      <c r="G105" t="s">
        <v>606</v>
      </c>
      <c r="H105" s="4" t="s">
        <v>791</v>
      </c>
      <c r="I105" t="s">
        <v>627</v>
      </c>
      <c r="J105" t="s">
        <v>625</v>
      </c>
      <c r="K105" s="2">
        <v>336</v>
      </c>
      <c r="L105" t="s">
        <v>626</v>
      </c>
      <c r="M105" s="3" t="s">
        <v>19</v>
      </c>
      <c r="N105" s="3"/>
      <c r="P105">
        <f>IF(Tabelle1[[#This Row],[UN Sovereign States (bool)]]="x", Tabelle1[[#This Row],[ISO-alpha3 Code]], Tabelle1[[#This Row],[Occupier]])</f>
        <v>0</v>
      </c>
      <c r="Q105" t="e">
        <f>VLOOKUP(Tabelle1[[#This Row],[Assist]],Tabelle1[[ISO-alpha3 Code]:[Country/Area]],2,FALSE)</f>
        <v>#N/A</v>
      </c>
      <c r="R105" t="str">
        <f>Tabelle1[[#This Row],[Country/Area]]</f>
        <v>Holy See</v>
      </c>
    </row>
    <row r="106" spans="1:18" x14ac:dyDescent="0.35">
      <c r="A106" s="2">
        <v>19</v>
      </c>
      <c r="B106" t="s">
        <v>190</v>
      </c>
      <c r="C106" s="3" t="s">
        <v>302</v>
      </c>
      <c r="D106" s="2">
        <v>419</v>
      </c>
      <c r="E106" t="s">
        <v>191</v>
      </c>
      <c r="F106" s="2">
        <v>13</v>
      </c>
      <c r="G106" t="s">
        <v>277</v>
      </c>
      <c r="H106" s="2" t="s">
        <v>277</v>
      </c>
      <c r="I106" t="s">
        <v>292</v>
      </c>
      <c r="J106" t="s">
        <v>290</v>
      </c>
      <c r="K106" s="2">
        <v>340</v>
      </c>
      <c r="L106" t="s">
        <v>291</v>
      </c>
      <c r="M106" s="3" t="s">
        <v>19</v>
      </c>
      <c r="N106" s="3" t="s">
        <v>19</v>
      </c>
      <c r="P106" t="str">
        <f>IF(Tabelle1[[#This Row],[UN Sovereign States (bool)]]="x", Tabelle1[[#This Row],[ISO-alpha3 Code]], Tabelle1[[#This Row],[Occupier]])</f>
        <v>HND</v>
      </c>
      <c r="Q106" t="str">
        <f>VLOOKUP(Tabelle1[[#This Row],[Assist]],Tabelle1[[ISO-alpha3 Code]:[Country/Area]],2,FALSE)</f>
        <v>Honduras</v>
      </c>
      <c r="R106" t="str">
        <f>Tabelle1[[#This Row],[Country/Area]]</f>
        <v>Honduras</v>
      </c>
    </row>
    <row r="107" spans="1:18" x14ac:dyDescent="0.35">
      <c r="A107" s="2">
        <v>142</v>
      </c>
      <c r="B107" t="s">
        <v>370</v>
      </c>
      <c r="C107" t="s">
        <v>370</v>
      </c>
      <c r="D107" s="2">
        <v>30</v>
      </c>
      <c r="E107" t="s">
        <v>387</v>
      </c>
      <c r="F107" s="2">
        <v>30</v>
      </c>
      <c r="G107" t="s">
        <v>387</v>
      </c>
      <c r="H107" t="s">
        <v>797</v>
      </c>
      <c r="I107" t="s">
        <v>393</v>
      </c>
      <c r="J107" t="s">
        <v>391</v>
      </c>
      <c r="K107" s="2">
        <v>344</v>
      </c>
      <c r="L107" t="s">
        <v>392</v>
      </c>
      <c r="M107" s="3" t="s">
        <v>19</v>
      </c>
      <c r="N107" s="3"/>
      <c r="O107" s="3" t="s">
        <v>390</v>
      </c>
      <c r="P107" t="str">
        <f>IF(Tabelle1[[#This Row],[UN Sovereign States (bool)]]="x", Tabelle1[[#This Row],[ISO-alpha3 Code]], Tabelle1[[#This Row],[Occupier]])</f>
        <v>CHN</v>
      </c>
      <c r="Q107" t="str">
        <f>VLOOKUP(Tabelle1[[#This Row],[Assist]],Tabelle1[[ISO-alpha3 Code]:[Country/Area]],2,FALSE)</f>
        <v>China</v>
      </c>
      <c r="R107" s="3" t="s">
        <v>823</v>
      </c>
    </row>
    <row r="108" spans="1:18" x14ac:dyDescent="0.35">
      <c r="A108" s="2">
        <v>150</v>
      </c>
      <c r="B108" t="s">
        <v>525</v>
      </c>
      <c r="C108" t="s">
        <v>525</v>
      </c>
      <c r="D108" s="2">
        <v>151</v>
      </c>
      <c r="E108" t="s">
        <v>526</v>
      </c>
      <c r="F108" s="2">
        <v>151</v>
      </c>
      <c r="G108" t="s">
        <v>526</v>
      </c>
      <c r="H108" s="2" t="s">
        <v>789</v>
      </c>
      <c r="I108" t="s">
        <v>538</v>
      </c>
      <c r="J108" t="s">
        <v>536</v>
      </c>
      <c r="K108" s="2">
        <v>348</v>
      </c>
      <c r="L108" t="s">
        <v>537</v>
      </c>
      <c r="M108" s="3" t="s">
        <v>19</v>
      </c>
      <c r="N108" s="3" t="s">
        <v>19</v>
      </c>
      <c r="P108" t="str">
        <f>IF(Tabelle1[[#This Row],[UN Sovereign States (bool)]]="x", Tabelle1[[#This Row],[ISO-alpha3 Code]], Tabelle1[[#This Row],[Occupier]])</f>
        <v>HUN</v>
      </c>
      <c r="Q108" t="str">
        <f>VLOOKUP(Tabelle1[[#This Row],[Assist]],Tabelle1[[ISO-alpha3 Code]:[Country/Area]],2,FALSE)</f>
        <v>Hungary</v>
      </c>
      <c r="R108" t="str">
        <f>Tabelle1[[#This Row],[Country/Area]]</f>
        <v>Hungary</v>
      </c>
    </row>
    <row r="109" spans="1:18" x14ac:dyDescent="0.35">
      <c r="A109" s="2">
        <v>150</v>
      </c>
      <c r="B109" t="s">
        <v>525</v>
      </c>
      <c r="C109" t="s">
        <v>525</v>
      </c>
      <c r="D109" s="2">
        <v>154</v>
      </c>
      <c r="E109" t="s">
        <v>557</v>
      </c>
      <c r="F109" s="2">
        <v>154</v>
      </c>
      <c r="G109" t="s">
        <v>557</v>
      </c>
      <c r="H109" s="2" t="s">
        <v>790</v>
      </c>
      <c r="I109" t="s">
        <v>578</v>
      </c>
      <c r="J109" t="s">
        <v>576</v>
      </c>
      <c r="K109" s="2">
        <v>352</v>
      </c>
      <c r="L109" t="s">
        <v>577</v>
      </c>
      <c r="M109" s="3" t="s">
        <v>19</v>
      </c>
      <c r="N109" s="3" t="s">
        <v>19</v>
      </c>
      <c r="P109" t="str">
        <f>IF(Tabelle1[[#This Row],[UN Sovereign States (bool)]]="x", Tabelle1[[#This Row],[ISO-alpha3 Code]], Tabelle1[[#This Row],[Occupier]])</f>
        <v>ISL</v>
      </c>
      <c r="Q109" t="str">
        <f>VLOOKUP(Tabelle1[[#This Row],[Assist]],Tabelle1[[ISO-alpha3 Code]:[Country/Area]],2,FALSE)</f>
        <v>Iceland</v>
      </c>
      <c r="R109" t="str">
        <f>Tabelle1[[#This Row],[Country/Area]]</f>
        <v>Iceland</v>
      </c>
    </row>
    <row r="110" spans="1:18" x14ac:dyDescent="0.35">
      <c r="A110" s="2">
        <v>142</v>
      </c>
      <c r="B110" t="s">
        <v>370</v>
      </c>
      <c r="C110" t="s">
        <v>370</v>
      </c>
      <c r="D110" s="2">
        <v>34</v>
      </c>
      <c r="E110" t="s">
        <v>443</v>
      </c>
      <c r="F110" s="2">
        <v>34</v>
      </c>
      <c r="G110" t="s">
        <v>443</v>
      </c>
      <c r="H110" s="2" t="s">
        <v>801</v>
      </c>
      <c r="I110" t="s">
        <v>455</v>
      </c>
      <c r="J110" t="s">
        <v>453</v>
      </c>
      <c r="K110" s="2">
        <v>356</v>
      </c>
      <c r="L110" t="s">
        <v>454</v>
      </c>
      <c r="M110" s="3" t="s">
        <v>19</v>
      </c>
      <c r="N110" s="3" t="s">
        <v>19</v>
      </c>
      <c r="P110" t="str">
        <f>IF(Tabelle1[[#This Row],[UN Sovereign States (bool)]]="x", Tabelle1[[#This Row],[ISO-alpha3 Code]], Tabelle1[[#This Row],[Occupier]])</f>
        <v>IND</v>
      </c>
      <c r="Q110" t="str">
        <f>VLOOKUP(Tabelle1[[#This Row],[Assist]],Tabelle1[[ISO-alpha3 Code]:[Country/Area]],2,FALSE)</f>
        <v>India</v>
      </c>
      <c r="R110" t="str">
        <f>Tabelle1[[#This Row],[Country/Area]]</f>
        <v>India</v>
      </c>
    </row>
    <row r="111" spans="1:18" x14ac:dyDescent="0.35">
      <c r="A111" s="2">
        <v>142</v>
      </c>
      <c r="B111" t="s">
        <v>370</v>
      </c>
      <c r="C111" t="s">
        <v>370</v>
      </c>
      <c r="D111" s="2">
        <v>35</v>
      </c>
      <c r="E111" t="s">
        <v>409</v>
      </c>
      <c r="F111" s="2">
        <v>35</v>
      </c>
      <c r="G111" t="s">
        <v>409</v>
      </c>
      <c r="H111" s="2" t="s">
        <v>800</v>
      </c>
      <c r="I111" t="s">
        <v>418</v>
      </c>
      <c r="J111" t="s">
        <v>416</v>
      </c>
      <c r="K111" s="2">
        <v>360</v>
      </c>
      <c r="L111" t="s">
        <v>417</v>
      </c>
      <c r="M111" s="3" t="s">
        <v>19</v>
      </c>
      <c r="N111" s="3" t="s">
        <v>19</v>
      </c>
      <c r="P111" t="str">
        <f>IF(Tabelle1[[#This Row],[UN Sovereign States (bool)]]="x", Tabelle1[[#This Row],[ISO-alpha3 Code]], Tabelle1[[#This Row],[Occupier]])</f>
        <v>IDN</v>
      </c>
      <c r="Q111" t="str">
        <f>VLOOKUP(Tabelle1[[#This Row],[Assist]],Tabelle1[[ISO-alpha3 Code]:[Country/Area]],2,FALSE)</f>
        <v>Indonesia</v>
      </c>
      <c r="R111" t="str">
        <f>Tabelle1[[#This Row],[Country/Area]]</f>
        <v>Indonesia</v>
      </c>
    </row>
    <row r="112" spans="1:18" x14ac:dyDescent="0.35">
      <c r="A112" s="2">
        <v>142</v>
      </c>
      <c r="B112" t="s">
        <v>370</v>
      </c>
      <c r="C112" t="s">
        <v>370</v>
      </c>
      <c r="D112" s="2">
        <v>34</v>
      </c>
      <c r="E112" t="s">
        <v>443</v>
      </c>
      <c r="F112" s="2">
        <v>34</v>
      </c>
      <c r="G112" t="s">
        <v>443</v>
      </c>
      <c r="H112" s="2" t="s">
        <v>799</v>
      </c>
      <c r="I112" t="s">
        <v>458</v>
      </c>
      <c r="J112" t="s">
        <v>456</v>
      </c>
      <c r="K112" s="2">
        <v>364</v>
      </c>
      <c r="L112" t="s">
        <v>457</v>
      </c>
      <c r="M112" s="3" t="s">
        <v>19</v>
      </c>
      <c r="N112" s="3" t="s">
        <v>19</v>
      </c>
      <c r="P112" t="str">
        <f>IF(Tabelle1[[#This Row],[UN Sovereign States (bool)]]="x", Tabelle1[[#This Row],[ISO-alpha3 Code]], Tabelle1[[#This Row],[Occupier]])</f>
        <v>IRN</v>
      </c>
      <c r="Q112" t="str">
        <f>VLOOKUP(Tabelle1[[#This Row],[Assist]],Tabelle1[[ISO-alpha3 Code]:[Country/Area]],2,FALSE)</f>
        <v>Iran (Islamic Republic of)</v>
      </c>
      <c r="R112" t="str">
        <f>Tabelle1[[#This Row],[Country/Area]]</f>
        <v>Iran (Islamic Republic of)</v>
      </c>
    </row>
    <row r="113" spans="1:18" x14ac:dyDescent="0.35">
      <c r="A113" s="2">
        <v>142</v>
      </c>
      <c r="B113" t="s">
        <v>370</v>
      </c>
      <c r="C113" t="s">
        <v>370</v>
      </c>
      <c r="D113" s="2">
        <v>145</v>
      </c>
      <c r="E113" t="s">
        <v>471</v>
      </c>
      <c r="F113" s="2">
        <v>145</v>
      </c>
      <c r="G113" t="s">
        <v>471</v>
      </c>
      <c r="H113" s="2" t="s">
        <v>802</v>
      </c>
      <c r="I113" t="s">
        <v>489</v>
      </c>
      <c r="J113" t="s">
        <v>487</v>
      </c>
      <c r="K113" s="2">
        <v>368</v>
      </c>
      <c r="L113" t="s">
        <v>488</v>
      </c>
      <c r="M113" s="3" t="s">
        <v>19</v>
      </c>
      <c r="N113" s="3" t="s">
        <v>19</v>
      </c>
      <c r="P113" t="str">
        <f>IF(Tabelle1[[#This Row],[UN Sovereign States (bool)]]="x", Tabelle1[[#This Row],[ISO-alpha3 Code]], Tabelle1[[#This Row],[Occupier]])</f>
        <v>IRQ</v>
      </c>
      <c r="Q113" t="str">
        <f>VLOOKUP(Tabelle1[[#This Row],[Assist]],Tabelle1[[ISO-alpha3 Code]:[Country/Area]],2,FALSE)</f>
        <v>Iraq</v>
      </c>
      <c r="R113" t="str">
        <f>Tabelle1[[#This Row],[Country/Area]]</f>
        <v>Iraq</v>
      </c>
    </row>
    <row r="114" spans="1:18" x14ac:dyDescent="0.35">
      <c r="A114" s="2">
        <v>150</v>
      </c>
      <c r="B114" t="s">
        <v>525</v>
      </c>
      <c r="C114" t="s">
        <v>525</v>
      </c>
      <c r="D114" s="2">
        <v>154</v>
      </c>
      <c r="E114" t="s">
        <v>557</v>
      </c>
      <c r="F114" s="2">
        <v>154</v>
      </c>
      <c r="G114" t="s">
        <v>557</v>
      </c>
      <c r="H114" s="2" t="s">
        <v>790</v>
      </c>
      <c r="I114" t="s">
        <v>581</v>
      </c>
      <c r="J114" t="s">
        <v>579</v>
      </c>
      <c r="K114" s="2">
        <v>372</v>
      </c>
      <c r="L114" t="s">
        <v>580</v>
      </c>
      <c r="M114" s="3" t="s">
        <v>19</v>
      </c>
      <c r="N114" s="3" t="s">
        <v>19</v>
      </c>
      <c r="P114" t="str">
        <f>IF(Tabelle1[[#This Row],[UN Sovereign States (bool)]]="x", Tabelle1[[#This Row],[ISO-alpha3 Code]], Tabelle1[[#This Row],[Occupier]])</f>
        <v>IRL</v>
      </c>
      <c r="Q114" t="str">
        <f>VLOOKUP(Tabelle1[[#This Row],[Assist]],Tabelle1[[ISO-alpha3 Code]:[Country/Area]],2,FALSE)</f>
        <v>Ireland</v>
      </c>
      <c r="R114" t="str">
        <f>Tabelle1[[#This Row],[Country/Area]]</f>
        <v>Ireland</v>
      </c>
    </row>
    <row r="115" spans="1:18" x14ac:dyDescent="0.35">
      <c r="A115" s="2">
        <v>142</v>
      </c>
      <c r="B115" t="s">
        <v>370</v>
      </c>
      <c r="C115" t="s">
        <v>370</v>
      </c>
      <c r="D115" s="2">
        <v>145</v>
      </c>
      <c r="E115" t="s">
        <v>471</v>
      </c>
      <c r="F115" s="2">
        <v>145</v>
      </c>
      <c r="G115" t="s">
        <v>471</v>
      </c>
      <c r="H115" s="2" t="s">
        <v>802</v>
      </c>
      <c r="I115" t="s">
        <v>492</v>
      </c>
      <c r="J115" t="s">
        <v>490</v>
      </c>
      <c r="K115" s="2">
        <v>376</v>
      </c>
      <c r="L115" t="s">
        <v>491</v>
      </c>
      <c r="M115" s="3" t="s">
        <v>19</v>
      </c>
      <c r="N115" s="3" t="s">
        <v>19</v>
      </c>
      <c r="P115" t="str">
        <f>IF(Tabelle1[[#This Row],[UN Sovereign States (bool)]]="x", Tabelle1[[#This Row],[ISO-alpha3 Code]], Tabelle1[[#This Row],[Occupier]])</f>
        <v>ISR</v>
      </c>
      <c r="Q115" t="str">
        <f>VLOOKUP(Tabelle1[[#This Row],[Assist]],Tabelle1[[ISO-alpha3 Code]:[Country/Area]],2,FALSE)</f>
        <v>Israel</v>
      </c>
      <c r="R115" t="str">
        <f>Tabelle1[[#This Row],[Country/Area]]</f>
        <v>Israel</v>
      </c>
    </row>
    <row r="116" spans="1:18" x14ac:dyDescent="0.35">
      <c r="A116" s="2">
        <v>150</v>
      </c>
      <c r="B116" t="s">
        <v>525</v>
      </c>
      <c r="C116" t="s">
        <v>525</v>
      </c>
      <c r="D116" s="2">
        <v>39</v>
      </c>
      <c r="E116" t="s">
        <v>606</v>
      </c>
      <c r="F116" s="2">
        <v>39</v>
      </c>
      <c r="G116" t="s">
        <v>606</v>
      </c>
      <c r="H116" s="4" t="s">
        <v>791</v>
      </c>
      <c r="I116" t="s">
        <v>630</v>
      </c>
      <c r="J116" t="s">
        <v>628</v>
      </c>
      <c r="K116" s="2">
        <v>380</v>
      </c>
      <c r="L116" t="s">
        <v>629</v>
      </c>
      <c r="M116" s="3" t="s">
        <v>19</v>
      </c>
      <c r="N116" s="3" t="s">
        <v>19</v>
      </c>
      <c r="P116" t="str">
        <f>IF(Tabelle1[[#This Row],[UN Sovereign States (bool)]]="x", Tabelle1[[#This Row],[ISO-alpha3 Code]], Tabelle1[[#This Row],[Occupier]])</f>
        <v>ITA</v>
      </c>
      <c r="Q116" t="str">
        <f>VLOOKUP(Tabelle1[[#This Row],[Assist]],Tabelle1[[ISO-alpha3 Code]:[Country/Area]],2,FALSE)</f>
        <v>Italy</v>
      </c>
      <c r="R116" t="str">
        <f>Tabelle1[[#This Row],[Country/Area]]</f>
        <v>Italy</v>
      </c>
    </row>
    <row r="117" spans="1:18" x14ac:dyDescent="0.35">
      <c r="A117" s="2">
        <v>2</v>
      </c>
      <c r="B117" t="s">
        <v>2</v>
      </c>
      <c r="C117" t="s">
        <v>2</v>
      </c>
      <c r="D117" s="2">
        <v>202</v>
      </c>
      <c r="E117" t="s">
        <v>26</v>
      </c>
      <c r="F117" s="2">
        <v>11</v>
      </c>
      <c r="G117" t="s">
        <v>138</v>
      </c>
      <c r="H117" s="2" t="s">
        <v>784</v>
      </c>
      <c r="I117" t="s">
        <v>150</v>
      </c>
      <c r="J117" t="s">
        <v>148</v>
      </c>
      <c r="K117" s="2">
        <v>384</v>
      </c>
      <c r="L117" t="s">
        <v>149</v>
      </c>
      <c r="M117" s="3" t="s">
        <v>19</v>
      </c>
      <c r="N117" s="3" t="s">
        <v>19</v>
      </c>
      <c r="P117" t="str">
        <f>IF(Tabelle1[[#This Row],[UN Sovereign States (bool)]]="x", Tabelle1[[#This Row],[ISO-alpha3 Code]], Tabelle1[[#This Row],[Occupier]])</f>
        <v>CIV</v>
      </c>
      <c r="Q117" t="str">
        <f>VLOOKUP(Tabelle1[[#This Row],[Assist]],Tabelle1[[ISO-alpha3 Code]:[Country/Area]],2,FALSE)</f>
        <v>Côte d’Ivoire</v>
      </c>
      <c r="R117" s="3" t="s">
        <v>832</v>
      </c>
    </row>
    <row r="118" spans="1:18" x14ac:dyDescent="0.35">
      <c r="A118" s="2">
        <v>19</v>
      </c>
      <c r="B118" t="s">
        <v>190</v>
      </c>
      <c r="C118" s="3" t="s">
        <v>778</v>
      </c>
      <c r="D118" s="2">
        <v>419</v>
      </c>
      <c r="E118" t="s">
        <v>191</v>
      </c>
      <c r="F118" s="2">
        <v>29</v>
      </c>
      <c r="G118" t="s">
        <v>192</v>
      </c>
      <c r="H118" t="s">
        <v>192</v>
      </c>
      <c r="I118" t="s">
        <v>240</v>
      </c>
      <c r="J118" t="s">
        <v>238</v>
      </c>
      <c r="K118" s="2">
        <v>388</v>
      </c>
      <c r="L118" t="s">
        <v>239</v>
      </c>
      <c r="M118" s="3" t="s">
        <v>19</v>
      </c>
      <c r="N118" s="3" t="s">
        <v>19</v>
      </c>
      <c r="P118" t="str">
        <f>IF(Tabelle1[[#This Row],[UN Sovereign States (bool)]]="x", Tabelle1[[#This Row],[ISO-alpha3 Code]], Tabelle1[[#This Row],[Occupier]])</f>
        <v>JAM</v>
      </c>
      <c r="Q118" t="str">
        <f>VLOOKUP(Tabelle1[[#This Row],[Assist]],Tabelle1[[ISO-alpha3 Code]:[Country/Area]],2,FALSE)</f>
        <v>Jamaica</v>
      </c>
      <c r="R118" t="str">
        <f>Tabelle1[[#This Row],[Country/Area]]</f>
        <v>Jamaica</v>
      </c>
    </row>
    <row r="119" spans="1:18" x14ac:dyDescent="0.35">
      <c r="A119" s="2">
        <v>142</v>
      </c>
      <c r="B119" t="s">
        <v>370</v>
      </c>
      <c r="C119" t="s">
        <v>370</v>
      </c>
      <c r="D119" s="2">
        <v>30</v>
      </c>
      <c r="E119" t="s">
        <v>387</v>
      </c>
      <c r="F119" s="2">
        <v>30</v>
      </c>
      <c r="G119" t="s">
        <v>387</v>
      </c>
      <c r="H119" t="s">
        <v>797</v>
      </c>
      <c r="I119" t="s">
        <v>402</v>
      </c>
      <c r="J119" t="s">
        <v>400</v>
      </c>
      <c r="K119" s="2">
        <v>392</v>
      </c>
      <c r="L119" t="s">
        <v>401</v>
      </c>
      <c r="M119" s="3" t="s">
        <v>19</v>
      </c>
      <c r="N119" s="3" t="s">
        <v>19</v>
      </c>
      <c r="P119" t="str">
        <f>IF(Tabelle1[[#This Row],[UN Sovereign States (bool)]]="x", Tabelle1[[#This Row],[ISO-alpha3 Code]], Tabelle1[[#This Row],[Occupier]])</f>
        <v>JPN</v>
      </c>
      <c r="Q119" t="str">
        <f>VLOOKUP(Tabelle1[[#This Row],[Assist]],Tabelle1[[ISO-alpha3 Code]:[Country/Area]],2,FALSE)</f>
        <v>Japan</v>
      </c>
      <c r="R119" t="str">
        <f>Tabelle1[[#This Row],[Country/Area]]</f>
        <v>Japan</v>
      </c>
    </row>
    <row r="120" spans="1:18" x14ac:dyDescent="0.35">
      <c r="A120" s="2">
        <v>142</v>
      </c>
      <c r="B120" t="s">
        <v>370</v>
      </c>
      <c r="C120" t="s">
        <v>370</v>
      </c>
      <c r="D120" s="2">
        <v>143</v>
      </c>
      <c r="E120" t="s">
        <v>371</v>
      </c>
      <c r="F120" s="2">
        <v>143</v>
      </c>
      <c r="G120" t="s">
        <v>371</v>
      </c>
      <c r="H120" t="s">
        <v>796</v>
      </c>
      <c r="I120" t="s">
        <v>374</v>
      </c>
      <c r="J120" t="s">
        <v>372</v>
      </c>
      <c r="K120" s="2">
        <v>398</v>
      </c>
      <c r="L120" t="s">
        <v>373</v>
      </c>
      <c r="M120" s="3" t="s">
        <v>19</v>
      </c>
      <c r="N120" s="3" t="s">
        <v>19</v>
      </c>
      <c r="P120" t="str">
        <f>IF(Tabelle1[[#This Row],[UN Sovereign States (bool)]]="x", Tabelle1[[#This Row],[ISO-alpha3 Code]], Tabelle1[[#This Row],[Occupier]])</f>
        <v>KAZ</v>
      </c>
      <c r="Q120" t="str">
        <f>VLOOKUP(Tabelle1[[#This Row],[Assist]],Tabelle1[[ISO-alpha3 Code]:[Country/Area]],2,FALSE)</f>
        <v>Kazakhstan</v>
      </c>
      <c r="R120" t="str">
        <f>Tabelle1[[#This Row],[Country/Area]]</f>
        <v>Kazakhstan</v>
      </c>
    </row>
    <row r="121" spans="1:18" x14ac:dyDescent="0.35">
      <c r="A121" s="2">
        <v>142</v>
      </c>
      <c r="B121" t="s">
        <v>370</v>
      </c>
      <c r="C121" t="s">
        <v>370</v>
      </c>
      <c r="D121" s="2">
        <v>145</v>
      </c>
      <c r="E121" t="s">
        <v>471</v>
      </c>
      <c r="F121" s="2">
        <v>145</v>
      </c>
      <c r="G121" t="s">
        <v>471</v>
      </c>
      <c r="H121" s="2" t="s">
        <v>802</v>
      </c>
      <c r="I121" t="s">
        <v>495</v>
      </c>
      <c r="J121" t="s">
        <v>493</v>
      </c>
      <c r="K121" s="2">
        <v>400</v>
      </c>
      <c r="L121" t="s">
        <v>494</v>
      </c>
      <c r="M121" s="3" t="s">
        <v>19</v>
      </c>
      <c r="N121" s="3" t="s">
        <v>19</v>
      </c>
      <c r="P121" t="str">
        <f>IF(Tabelle1[[#This Row],[UN Sovereign States (bool)]]="x", Tabelle1[[#This Row],[ISO-alpha3 Code]], Tabelle1[[#This Row],[Occupier]])</f>
        <v>JOR</v>
      </c>
      <c r="Q121" t="str">
        <f>VLOOKUP(Tabelle1[[#This Row],[Assist]],Tabelle1[[ISO-alpha3 Code]:[Country/Area]],2,FALSE)</f>
        <v>Jordan</v>
      </c>
      <c r="R121" t="str">
        <f>Tabelle1[[#This Row],[Country/Area]]</f>
        <v>Jordan</v>
      </c>
    </row>
    <row r="122" spans="1:18" x14ac:dyDescent="0.35">
      <c r="A122" s="2">
        <v>2</v>
      </c>
      <c r="B122" t="s">
        <v>2</v>
      </c>
      <c r="C122" t="s">
        <v>2</v>
      </c>
      <c r="D122" s="2">
        <v>202</v>
      </c>
      <c r="E122" t="s">
        <v>26</v>
      </c>
      <c r="F122" s="2">
        <v>14</v>
      </c>
      <c r="G122" t="s">
        <v>27</v>
      </c>
      <c r="H122" s="2" t="s">
        <v>781</v>
      </c>
      <c r="I122" t="s">
        <v>51</v>
      </c>
      <c r="J122" t="s">
        <v>49</v>
      </c>
      <c r="K122" s="2">
        <v>404</v>
      </c>
      <c r="L122" t="s">
        <v>50</v>
      </c>
      <c r="M122" s="3" t="s">
        <v>19</v>
      </c>
      <c r="N122" s="3" t="s">
        <v>19</v>
      </c>
      <c r="P122" t="str">
        <f>IF(Tabelle1[[#This Row],[UN Sovereign States (bool)]]="x", Tabelle1[[#This Row],[ISO-alpha3 Code]], Tabelle1[[#This Row],[Occupier]])</f>
        <v>KEN</v>
      </c>
      <c r="Q122" t="str">
        <f>VLOOKUP(Tabelle1[[#This Row],[Assist]],Tabelle1[[ISO-alpha3 Code]:[Country/Area]],2,FALSE)</f>
        <v>Kenya</v>
      </c>
      <c r="R122" t="str">
        <f>Tabelle1[[#This Row],[Country/Area]]</f>
        <v>Kenya</v>
      </c>
    </row>
    <row r="123" spans="1:18" x14ac:dyDescent="0.35">
      <c r="A123" s="2">
        <v>142</v>
      </c>
      <c r="B123" t="s">
        <v>370</v>
      </c>
      <c r="C123" t="s">
        <v>370</v>
      </c>
      <c r="D123" s="2">
        <v>30</v>
      </c>
      <c r="E123" t="s">
        <v>387</v>
      </c>
      <c r="F123" s="2">
        <v>30</v>
      </c>
      <c r="G123" t="s">
        <v>387</v>
      </c>
      <c r="H123" t="s">
        <v>797</v>
      </c>
      <c r="I123" t="s">
        <v>399</v>
      </c>
      <c r="J123" t="s">
        <v>397</v>
      </c>
      <c r="K123" s="2">
        <v>408</v>
      </c>
      <c r="L123" t="s">
        <v>398</v>
      </c>
      <c r="M123" s="3" t="s">
        <v>19</v>
      </c>
      <c r="N123" s="3" t="s">
        <v>19</v>
      </c>
      <c r="P123" t="str">
        <f>IF(Tabelle1[[#This Row],[UN Sovereign States (bool)]]="x", Tabelle1[[#This Row],[ISO-alpha3 Code]], Tabelle1[[#This Row],[Occupier]])</f>
        <v>PRK</v>
      </c>
      <c r="Q123" t="str">
        <f>VLOOKUP(Tabelle1[[#This Row],[Assist]],Tabelle1[[ISO-alpha3 Code]:[Country/Area]],2,FALSE)</f>
        <v>Democratic People's Republic of Korea</v>
      </c>
      <c r="R123" s="3" t="s">
        <v>825</v>
      </c>
    </row>
    <row r="124" spans="1:18" x14ac:dyDescent="0.35">
      <c r="A124" s="2">
        <v>142</v>
      </c>
      <c r="B124" t="s">
        <v>370</v>
      </c>
      <c r="C124" t="s">
        <v>370</v>
      </c>
      <c r="D124" s="2">
        <v>30</v>
      </c>
      <c r="E124" t="s">
        <v>387</v>
      </c>
      <c r="F124" s="2">
        <v>30</v>
      </c>
      <c r="G124" t="s">
        <v>387</v>
      </c>
      <c r="H124" t="s">
        <v>797</v>
      </c>
      <c r="I124" t="s">
        <v>408</v>
      </c>
      <c r="J124" t="s">
        <v>406</v>
      </c>
      <c r="K124" s="2">
        <v>410</v>
      </c>
      <c r="L124" t="s">
        <v>407</v>
      </c>
      <c r="M124" s="3" t="s">
        <v>19</v>
      </c>
      <c r="N124" s="3" t="s">
        <v>19</v>
      </c>
      <c r="P124" t="str">
        <f>IF(Tabelle1[[#This Row],[UN Sovereign States (bool)]]="x", Tabelle1[[#This Row],[ISO-alpha3 Code]], Tabelle1[[#This Row],[Occupier]])</f>
        <v>KOR</v>
      </c>
      <c r="Q124" t="str">
        <f>VLOOKUP(Tabelle1[[#This Row],[Assist]],Tabelle1[[ISO-alpha3 Code]:[Country/Area]],2,FALSE)</f>
        <v>Republic of Korea</v>
      </c>
      <c r="R124" t="str">
        <f>Tabelle1[[#This Row],[Country/Area]]</f>
        <v>Republic of Korea</v>
      </c>
    </row>
    <row r="125" spans="1:18" x14ac:dyDescent="0.35">
      <c r="A125">
        <v>150</v>
      </c>
      <c r="B125" t="s">
        <v>525</v>
      </c>
      <c r="C125" t="s">
        <v>525</v>
      </c>
      <c r="D125">
        <v>151</v>
      </c>
      <c r="E125" t="s">
        <v>526</v>
      </c>
      <c r="F125">
        <v>151</v>
      </c>
      <c r="G125" t="s">
        <v>526</v>
      </c>
      <c r="H125" s="3" t="s">
        <v>789</v>
      </c>
      <c r="I125" s="3" t="s">
        <v>814</v>
      </c>
      <c r="J125" s="3" t="s">
        <v>816</v>
      </c>
      <c r="K125">
        <v>412</v>
      </c>
      <c r="L125" s="3" t="s">
        <v>815</v>
      </c>
      <c r="M125" s="3"/>
      <c r="P125">
        <f>IF(Tabelle1[[#This Row],[UN Sovereign States (bool)]]="x", Tabelle1[[#This Row],[ISO-alpha3 Code]], Tabelle1[[#This Row],[Occupier]])</f>
        <v>0</v>
      </c>
      <c r="Q125" t="e">
        <f>VLOOKUP(Tabelle1[[#This Row],[Assist]],Tabelle1[[ISO-alpha3 Code]:[Country/Area]],2,FALSE)</f>
        <v>#N/A</v>
      </c>
      <c r="R125" s="3" t="s">
        <v>826</v>
      </c>
    </row>
    <row r="126" spans="1:18" x14ac:dyDescent="0.35">
      <c r="A126" s="2">
        <v>142</v>
      </c>
      <c r="B126" t="s">
        <v>370</v>
      </c>
      <c r="C126" t="s">
        <v>370</v>
      </c>
      <c r="D126" s="2">
        <v>145</v>
      </c>
      <c r="E126" t="s">
        <v>471</v>
      </c>
      <c r="F126" s="2">
        <v>145</v>
      </c>
      <c r="G126" t="s">
        <v>471</v>
      </c>
      <c r="H126" s="2" t="s">
        <v>799</v>
      </c>
      <c r="I126" t="s">
        <v>498</v>
      </c>
      <c r="J126" t="s">
        <v>496</v>
      </c>
      <c r="K126" s="2">
        <v>414</v>
      </c>
      <c r="L126" t="s">
        <v>497</v>
      </c>
      <c r="M126" s="3" t="s">
        <v>19</v>
      </c>
      <c r="N126" s="3" t="s">
        <v>19</v>
      </c>
      <c r="P126" t="str">
        <f>IF(Tabelle1[[#This Row],[UN Sovereign States (bool)]]="x", Tabelle1[[#This Row],[ISO-alpha3 Code]], Tabelle1[[#This Row],[Occupier]])</f>
        <v>KWT</v>
      </c>
      <c r="Q126" t="str">
        <f>VLOOKUP(Tabelle1[[#This Row],[Assist]],Tabelle1[[ISO-alpha3 Code]:[Country/Area]],2,FALSE)</f>
        <v>Kuwait</v>
      </c>
      <c r="R126" t="str">
        <f>Tabelle1[[#This Row],[Country/Area]]</f>
        <v>Kuwait</v>
      </c>
    </row>
    <row r="127" spans="1:18" x14ac:dyDescent="0.35">
      <c r="A127" s="2">
        <v>142</v>
      </c>
      <c r="B127" t="s">
        <v>370</v>
      </c>
      <c r="C127" t="s">
        <v>370</v>
      </c>
      <c r="D127" s="2">
        <v>143</v>
      </c>
      <c r="E127" t="s">
        <v>371</v>
      </c>
      <c r="F127" s="2">
        <v>143</v>
      </c>
      <c r="G127" t="s">
        <v>371</v>
      </c>
      <c r="H127" t="s">
        <v>796</v>
      </c>
      <c r="I127" t="s">
        <v>377</v>
      </c>
      <c r="J127" t="s">
        <v>375</v>
      </c>
      <c r="K127" s="2">
        <v>417</v>
      </c>
      <c r="L127" t="s">
        <v>376</v>
      </c>
      <c r="M127" s="3" t="s">
        <v>19</v>
      </c>
      <c r="N127" s="3" t="s">
        <v>19</v>
      </c>
      <c r="P127" t="str">
        <f>IF(Tabelle1[[#This Row],[UN Sovereign States (bool)]]="x", Tabelle1[[#This Row],[ISO-alpha3 Code]], Tabelle1[[#This Row],[Occupier]])</f>
        <v>KGZ</v>
      </c>
      <c r="Q127" t="str">
        <f>VLOOKUP(Tabelle1[[#This Row],[Assist]],Tabelle1[[ISO-alpha3 Code]:[Country/Area]],2,FALSE)</f>
        <v>Kyrgyzstan</v>
      </c>
      <c r="R127" t="str">
        <f>Tabelle1[[#This Row],[Country/Area]]</f>
        <v>Kyrgyzstan</v>
      </c>
    </row>
    <row r="128" spans="1:18" x14ac:dyDescent="0.35">
      <c r="A128" s="2">
        <v>142</v>
      </c>
      <c r="B128" t="s">
        <v>370</v>
      </c>
      <c r="C128" t="s">
        <v>370</v>
      </c>
      <c r="D128" s="2">
        <v>35</v>
      </c>
      <c r="E128" t="s">
        <v>409</v>
      </c>
      <c r="F128" s="2">
        <v>35</v>
      </c>
      <c r="G128" t="s">
        <v>409</v>
      </c>
      <c r="H128" s="2" t="s">
        <v>800</v>
      </c>
      <c r="I128" t="s">
        <v>421</v>
      </c>
      <c r="J128" t="s">
        <v>419</v>
      </c>
      <c r="K128" s="2">
        <v>418</v>
      </c>
      <c r="L128" t="s">
        <v>420</v>
      </c>
      <c r="M128" s="3" t="s">
        <v>19</v>
      </c>
      <c r="N128" s="3" t="s">
        <v>19</v>
      </c>
      <c r="P128" t="str">
        <f>IF(Tabelle1[[#This Row],[UN Sovereign States (bool)]]="x", Tabelle1[[#This Row],[ISO-alpha3 Code]], Tabelle1[[#This Row],[Occupier]])</f>
        <v>LAO</v>
      </c>
      <c r="Q128" t="str">
        <f>VLOOKUP(Tabelle1[[#This Row],[Assist]],Tabelle1[[ISO-alpha3 Code]:[Country/Area]],2,FALSE)</f>
        <v>Lao People's Democratic Republic</v>
      </c>
      <c r="R128" t="str">
        <f>Tabelle1[[#This Row],[Country/Area]]</f>
        <v>Lao People's Democratic Republic</v>
      </c>
    </row>
    <row r="129" spans="1:18" x14ac:dyDescent="0.35">
      <c r="A129" s="2">
        <v>142</v>
      </c>
      <c r="B129" t="s">
        <v>370</v>
      </c>
      <c r="C129" t="s">
        <v>370</v>
      </c>
      <c r="D129" s="2">
        <v>145</v>
      </c>
      <c r="E129" t="s">
        <v>471</v>
      </c>
      <c r="F129" s="2">
        <v>145</v>
      </c>
      <c r="G129" t="s">
        <v>471</v>
      </c>
      <c r="H129" s="2" t="s">
        <v>802</v>
      </c>
      <c r="I129" t="s">
        <v>501</v>
      </c>
      <c r="J129" t="s">
        <v>499</v>
      </c>
      <c r="K129" s="2">
        <v>422</v>
      </c>
      <c r="L129" t="s">
        <v>500</v>
      </c>
      <c r="M129" s="3" t="s">
        <v>19</v>
      </c>
      <c r="N129" s="3" t="s">
        <v>19</v>
      </c>
      <c r="P129" t="str">
        <f>IF(Tabelle1[[#This Row],[UN Sovereign States (bool)]]="x", Tabelle1[[#This Row],[ISO-alpha3 Code]], Tabelle1[[#This Row],[Occupier]])</f>
        <v>LBN</v>
      </c>
      <c r="Q129" t="str">
        <f>VLOOKUP(Tabelle1[[#This Row],[Assist]],Tabelle1[[ISO-alpha3 Code]:[Country/Area]],2,FALSE)</f>
        <v>Lebanon</v>
      </c>
      <c r="R129" t="str">
        <f>Tabelle1[[#This Row],[Country/Area]]</f>
        <v>Lebanon</v>
      </c>
    </row>
    <row r="130" spans="1:18" x14ac:dyDescent="0.35">
      <c r="A130" s="2">
        <v>2</v>
      </c>
      <c r="B130" t="s">
        <v>2</v>
      </c>
      <c r="C130" t="s">
        <v>2</v>
      </c>
      <c r="D130" s="2">
        <v>202</v>
      </c>
      <c r="E130" t="s">
        <v>26</v>
      </c>
      <c r="F130" s="2">
        <v>18</v>
      </c>
      <c r="G130" t="s">
        <v>122</v>
      </c>
      <c r="H130" s="2" t="s">
        <v>783</v>
      </c>
      <c r="I130" t="s">
        <v>131</v>
      </c>
      <c r="J130" t="s">
        <v>129</v>
      </c>
      <c r="K130" s="2">
        <v>426</v>
      </c>
      <c r="L130" t="s">
        <v>130</v>
      </c>
      <c r="M130" s="3" t="s">
        <v>19</v>
      </c>
      <c r="N130" s="3" t="s">
        <v>19</v>
      </c>
      <c r="P130" t="str">
        <f>IF(Tabelle1[[#This Row],[UN Sovereign States (bool)]]="x", Tabelle1[[#This Row],[ISO-alpha3 Code]], Tabelle1[[#This Row],[Occupier]])</f>
        <v>LSO</v>
      </c>
      <c r="Q130" t="str">
        <f>VLOOKUP(Tabelle1[[#This Row],[Assist]],Tabelle1[[ISO-alpha3 Code]:[Country/Area]],2,FALSE)</f>
        <v>Lesotho</v>
      </c>
      <c r="R130" t="str">
        <f>Tabelle1[[#This Row],[Country/Area]]</f>
        <v>Lesotho</v>
      </c>
    </row>
    <row r="131" spans="1:18" x14ac:dyDescent="0.35">
      <c r="A131" s="2">
        <v>150</v>
      </c>
      <c r="B131" t="s">
        <v>525</v>
      </c>
      <c r="C131" t="s">
        <v>525</v>
      </c>
      <c r="D131" s="2">
        <v>154</v>
      </c>
      <c r="E131" t="s">
        <v>557</v>
      </c>
      <c r="F131" s="2">
        <v>154</v>
      </c>
      <c r="G131" t="s">
        <v>557</v>
      </c>
      <c r="H131" s="2" t="s">
        <v>789</v>
      </c>
      <c r="I131" t="s">
        <v>590</v>
      </c>
      <c r="J131" t="s">
        <v>588</v>
      </c>
      <c r="K131" s="2">
        <v>428</v>
      </c>
      <c r="L131" t="s">
        <v>589</v>
      </c>
      <c r="M131" s="3" t="s">
        <v>19</v>
      </c>
      <c r="N131" s="3" t="s">
        <v>19</v>
      </c>
      <c r="P131" t="str">
        <f>IF(Tabelle1[[#This Row],[UN Sovereign States (bool)]]="x", Tabelle1[[#This Row],[ISO-alpha3 Code]], Tabelle1[[#This Row],[Occupier]])</f>
        <v>LVA</v>
      </c>
      <c r="Q131" t="str">
        <f>VLOOKUP(Tabelle1[[#This Row],[Assist]],Tabelle1[[ISO-alpha3 Code]:[Country/Area]],2,FALSE)</f>
        <v>Latvia</v>
      </c>
      <c r="R131" t="str">
        <f>Tabelle1[[#This Row],[Country/Area]]</f>
        <v>Latvia</v>
      </c>
    </row>
    <row r="132" spans="1:18" x14ac:dyDescent="0.35">
      <c r="A132" s="2">
        <v>2</v>
      </c>
      <c r="B132" t="s">
        <v>2</v>
      </c>
      <c r="C132" t="s">
        <v>2</v>
      </c>
      <c r="D132" s="2">
        <v>202</v>
      </c>
      <c r="E132" t="s">
        <v>26</v>
      </c>
      <c r="F132" s="2">
        <v>11</v>
      </c>
      <c r="G132" t="s">
        <v>138</v>
      </c>
      <c r="H132" s="2" t="s">
        <v>784</v>
      </c>
      <c r="I132" t="s">
        <v>165</v>
      </c>
      <c r="J132" t="s">
        <v>163</v>
      </c>
      <c r="K132" s="2">
        <v>430</v>
      </c>
      <c r="L132" t="s">
        <v>164</v>
      </c>
      <c r="M132" s="3" t="s">
        <v>19</v>
      </c>
      <c r="N132" s="3" t="s">
        <v>19</v>
      </c>
      <c r="P132" t="str">
        <f>IF(Tabelle1[[#This Row],[UN Sovereign States (bool)]]="x", Tabelle1[[#This Row],[ISO-alpha3 Code]], Tabelle1[[#This Row],[Occupier]])</f>
        <v>LBR</v>
      </c>
      <c r="Q132" t="str">
        <f>VLOOKUP(Tabelle1[[#This Row],[Assist]],Tabelle1[[ISO-alpha3 Code]:[Country/Area]],2,FALSE)</f>
        <v>Liberia</v>
      </c>
      <c r="R132" t="str">
        <f>Tabelle1[[#This Row],[Country/Area]]</f>
        <v>Liberia</v>
      </c>
    </row>
    <row r="133" spans="1:18" x14ac:dyDescent="0.35">
      <c r="A133" s="2">
        <v>2</v>
      </c>
      <c r="B133" t="s">
        <v>2</v>
      </c>
      <c r="C133" t="s">
        <v>2</v>
      </c>
      <c r="D133" s="2">
        <v>15</v>
      </c>
      <c r="E133" t="s">
        <v>3</v>
      </c>
      <c r="F133" s="2">
        <v>15</v>
      </c>
      <c r="G133" t="s">
        <v>3</v>
      </c>
      <c r="H133" s="2" t="s">
        <v>786</v>
      </c>
      <c r="I133" t="s">
        <v>12</v>
      </c>
      <c r="J133" t="s">
        <v>10</v>
      </c>
      <c r="K133" s="2">
        <v>434</v>
      </c>
      <c r="L133" t="s">
        <v>11</v>
      </c>
      <c r="M133" s="3" t="s">
        <v>19</v>
      </c>
      <c r="N133" s="3" t="s">
        <v>19</v>
      </c>
      <c r="P133" t="str">
        <f>IF(Tabelle1[[#This Row],[UN Sovereign States (bool)]]="x", Tabelle1[[#This Row],[ISO-alpha3 Code]], Tabelle1[[#This Row],[Occupier]])</f>
        <v>LBY</v>
      </c>
      <c r="Q133" t="str">
        <f>VLOOKUP(Tabelle1[[#This Row],[Assist]],Tabelle1[[ISO-alpha3 Code]:[Country/Area]],2,FALSE)</f>
        <v>Libya</v>
      </c>
      <c r="R133" t="str">
        <f>Tabelle1[[#This Row],[Country/Area]]</f>
        <v>Libya</v>
      </c>
    </row>
    <row r="134" spans="1:18" x14ac:dyDescent="0.35">
      <c r="A134" s="2">
        <v>150</v>
      </c>
      <c r="B134" t="s">
        <v>525</v>
      </c>
      <c r="C134" t="s">
        <v>525</v>
      </c>
      <c r="D134" s="2">
        <v>155</v>
      </c>
      <c r="E134" t="s">
        <v>655</v>
      </c>
      <c r="F134" s="2">
        <v>155</v>
      </c>
      <c r="G134" t="s">
        <v>655</v>
      </c>
      <c r="H134" s="4" t="s">
        <v>790</v>
      </c>
      <c r="I134" t="s">
        <v>670</v>
      </c>
      <c r="J134" t="s">
        <v>668</v>
      </c>
      <c r="K134" s="2">
        <v>438</v>
      </c>
      <c r="L134" t="s">
        <v>669</v>
      </c>
      <c r="M134" s="3" t="s">
        <v>19</v>
      </c>
      <c r="N134" s="3" t="s">
        <v>19</v>
      </c>
      <c r="P134" t="str">
        <f>IF(Tabelle1[[#This Row],[UN Sovereign States (bool)]]="x", Tabelle1[[#This Row],[ISO-alpha3 Code]], Tabelle1[[#This Row],[Occupier]])</f>
        <v>LIE</v>
      </c>
      <c r="Q134" t="str">
        <f>VLOOKUP(Tabelle1[[#This Row],[Assist]],Tabelle1[[ISO-alpha3 Code]:[Country/Area]],2,FALSE)</f>
        <v>Liechtenstein</v>
      </c>
      <c r="R134" t="str">
        <f>Tabelle1[[#This Row],[Country/Area]]</f>
        <v>Liechtenstein</v>
      </c>
    </row>
    <row r="135" spans="1:18" x14ac:dyDescent="0.35">
      <c r="A135" s="2">
        <v>150</v>
      </c>
      <c r="B135" t="s">
        <v>525</v>
      </c>
      <c r="C135" t="s">
        <v>525</v>
      </c>
      <c r="D135" s="2">
        <v>154</v>
      </c>
      <c r="E135" t="s">
        <v>557</v>
      </c>
      <c r="F135" s="2">
        <v>154</v>
      </c>
      <c r="G135" t="s">
        <v>557</v>
      </c>
      <c r="H135" s="2" t="s">
        <v>789</v>
      </c>
      <c r="I135" t="s">
        <v>593</v>
      </c>
      <c r="J135" t="s">
        <v>591</v>
      </c>
      <c r="K135" s="2">
        <v>440</v>
      </c>
      <c r="L135" t="s">
        <v>592</v>
      </c>
      <c r="M135" s="3" t="s">
        <v>19</v>
      </c>
      <c r="N135" s="3" t="s">
        <v>19</v>
      </c>
      <c r="P135" t="str">
        <f>IF(Tabelle1[[#This Row],[UN Sovereign States (bool)]]="x", Tabelle1[[#This Row],[ISO-alpha3 Code]], Tabelle1[[#This Row],[Occupier]])</f>
        <v>LTU</v>
      </c>
      <c r="Q135" t="str">
        <f>VLOOKUP(Tabelle1[[#This Row],[Assist]],Tabelle1[[ISO-alpha3 Code]:[Country/Area]],2,FALSE)</f>
        <v>Lithuania</v>
      </c>
      <c r="R135" t="str">
        <f>Tabelle1[[#This Row],[Country/Area]]</f>
        <v>Lithuania</v>
      </c>
    </row>
    <row r="136" spans="1:18" x14ac:dyDescent="0.35">
      <c r="A136" s="2">
        <v>150</v>
      </c>
      <c r="B136" t="s">
        <v>525</v>
      </c>
      <c r="C136" t="s">
        <v>525</v>
      </c>
      <c r="D136" s="2">
        <v>155</v>
      </c>
      <c r="E136" t="s">
        <v>655</v>
      </c>
      <c r="F136" s="2">
        <v>155</v>
      </c>
      <c r="G136" t="s">
        <v>655</v>
      </c>
      <c r="H136" s="4" t="s">
        <v>790</v>
      </c>
      <c r="I136" t="s">
        <v>673</v>
      </c>
      <c r="J136" t="s">
        <v>671</v>
      </c>
      <c r="K136" s="2">
        <v>442</v>
      </c>
      <c r="L136" t="s">
        <v>672</v>
      </c>
      <c r="M136" s="3" t="s">
        <v>19</v>
      </c>
      <c r="N136" s="3" t="s">
        <v>19</v>
      </c>
      <c r="P136" t="str">
        <f>IF(Tabelle1[[#This Row],[UN Sovereign States (bool)]]="x", Tabelle1[[#This Row],[ISO-alpha3 Code]], Tabelle1[[#This Row],[Occupier]])</f>
        <v>LUX</v>
      </c>
      <c r="Q136" t="str">
        <f>VLOOKUP(Tabelle1[[#This Row],[Assist]],Tabelle1[[ISO-alpha3 Code]:[Country/Area]],2,FALSE)</f>
        <v>Luxembourg</v>
      </c>
      <c r="R136" t="str">
        <f>Tabelle1[[#This Row],[Country/Area]]</f>
        <v>Luxembourg</v>
      </c>
    </row>
    <row r="137" spans="1:18" x14ac:dyDescent="0.35">
      <c r="A137" s="2">
        <v>142</v>
      </c>
      <c r="B137" t="s">
        <v>370</v>
      </c>
      <c r="C137" t="s">
        <v>370</v>
      </c>
      <c r="D137" s="2">
        <v>30</v>
      </c>
      <c r="E137" t="s">
        <v>387</v>
      </c>
      <c r="F137" s="2">
        <v>30</v>
      </c>
      <c r="G137" t="s">
        <v>387</v>
      </c>
      <c r="H137" t="s">
        <v>797</v>
      </c>
      <c r="I137" t="s">
        <v>396</v>
      </c>
      <c r="J137" t="s">
        <v>394</v>
      </c>
      <c r="K137" s="2">
        <v>446</v>
      </c>
      <c r="L137" t="s">
        <v>395</v>
      </c>
      <c r="M137" s="3" t="s">
        <v>19</v>
      </c>
      <c r="N137" s="3"/>
      <c r="O137" s="3" t="s">
        <v>390</v>
      </c>
      <c r="P137" t="str">
        <f>IF(Tabelle1[[#This Row],[UN Sovereign States (bool)]]="x", Tabelle1[[#This Row],[ISO-alpha3 Code]], Tabelle1[[#This Row],[Occupier]])</f>
        <v>CHN</v>
      </c>
      <c r="Q137" t="str">
        <f>VLOOKUP(Tabelle1[[#This Row],[Assist]],Tabelle1[[ISO-alpha3 Code]:[Country/Area]],2,FALSE)</f>
        <v>China</v>
      </c>
      <c r="R137" s="3" t="s">
        <v>824</v>
      </c>
    </row>
    <row r="138" spans="1:18" x14ac:dyDescent="0.35">
      <c r="A138" s="2">
        <v>2</v>
      </c>
      <c r="B138" t="s">
        <v>2</v>
      </c>
      <c r="C138" t="s">
        <v>2</v>
      </c>
      <c r="D138" s="2">
        <v>202</v>
      </c>
      <c r="E138" t="s">
        <v>26</v>
      </c>
      <c r="F138" s="2">
        <v>14</v>
      </c>
      <c r="G138" t="s">
        <v>27</v>
      </c>
      <c r="H138" s="2" t="s">
        <v>780</v>
      </c>
      <c r="I138" t="s">
        <v>54</v>
      </c>
      <c r="J138" t="s">
        <v>52</v>
      </c>
      <c r="K138" s="2">
        <v>450</v>
      </c>
      <c r="L138" t="s">
        <v>53</v>
      </c>
      <c r="M138" s="3" t="s">
        <v>19</v>
      </c>
      <c r="N138" s="3" t="s">
        <v>19</v>
      </c>
      <c r="P138" t="str">
        <f>IF(Tabelle1[[#This Row],[UN Sovereign States (bool)]]="x", Tabelle1[[#This Row],[ISO-alpha3 Code]], Tabelle1[[#This Row],[Occupier]])</f>
        <v>MDG</v>
      </c>
      <c r="Q138" t="str">
        <f>VLOOKUP(Tabelle1[[#This Row],[Assist]],Tabelle1[[ISO-alpha3 Code]:[Country/Area]],2,FALSE)</f>
        <v>Madagascar</v>
      </c>
      <c r="R138" t="str">
        <f>Tabelle1[[#This Row],[Country/Area]]</f>
        <v>Madagascar</v>
      </c>
    </row>
    <row r="139" spans="1:18" x14ac:dyDescent="0.35">
      <c r="A139" s="2">
        <v>2</v>
      </c>
      <c r="B139" t="s">
        <v>2</v>
      </c>
      <c r="C139" t="s">
        <v>2</v>
      </c>
      <c r="D139" s="2">
        <v>202</v>
      </c>
      <c r="E139" t="s">
        <v>26</v>
      </c>
      <c r="F139" s="2">
        <v>14</v>
      </c>
      <c r="G139" t="s">
        <v>27</v>
      </c>
      <c r="H139" s="2" t="s">
        <v>783</v>
      </c>
      <c r="I139" t="s">
        <v>57</v>
      </c>
      <c r="J139" t="s">
        <v>55</v>
      </c>
      <c r="K139" s="2">
        <v>454</v>
      </c>
      <c r="L139" t="s">
        <v>56</v>
      </c>
      <c r="M139" s="3" t="s">
        <v>19</v>
      </c>
      <c r="N139" s="3" t="s">
        <v>19</v>
      </c>
      <c r="P139" t="str">
        <f>IF(Tabelle1[[#This Row],[UN Sovereign States (bool)]]="x", Tabelle1[[#This Row],[ISO-alpha3 Code]], Tabelle1[[#This Row],[Occupier]])</f>
        <v>MWI</v>
      </c>
      <c r="Q139" t="str">
        <f>VLOOKUP(Tabelle1[[#This Row],[Assist]],Tabelle1[[ISO-alpha3 Code]:[Country/Area]],2,FALSE)</f>
        <v>Malawi</v>
      </c>
      <c r="R139" t="str">
        <f>Tabelle1[[#This Row],[Country/Area]]</f>
        <v>Malawi</v>
      </c>
    </row>
    <row r="140" spans="1:18" x14ac:dyDescent="0.35">
      <c r="A140" s="2">
        <v>142</v>
      </c>
      <c r="B140" t="s">
        <v>370</v>
      </c>
      <c r="C140" t="s">
        <v>370</v>
      </c>
      <c r="D140" s="2">
        <v>35</v>
      </c>
      <c r="E140" t="s">
        <v>409</v>
      </c>
      <c r="F140" s="2">
        <v>35</v>
      </c>
      <c r="G140" t="s">
        <v>409</v>
      </c>
      <c r="H140" s="2" t="s">
        <v>800</v>
      </c>
      <c r="I140" t="s">
        <v>424</v>
      </c>
      <c r="J140" t="s">
        <v>422</v>
      </c>
      <c r="K140" s="2">
        <v>458</v>
      </c>
      <c r="L140" t="s">
        <v>423</v>
      </c>
      <c r="M140" s="3" t="s">
        <v>19</v>
      </c>
      <c r="N140" s="3" t="s">
        <v>19</v>
      </c>
      <c r="P140" t="str">
        <f>IF(Tabelle1[[#This Row],[UN Sovereign States (bool)]]="x", Tabelle1[[#This Row],[ISO-alpha3 Code]], Tabelle1[[#This Row],[Occupier]])</f>
        <v>MYS</v>
      </c>
      <c r="Q140" t="str">
        <f>VLOOKUP(Tabelle1[[#This Row],[Assist]],Tabelle1[[ISO-alpha3 Code]:[Country/Area]],2,FALSE)</f>
        <v>Malaysia</v>
      </c>
      <c r="R140" t="str">
        <f>Tabelle1[[#This Row],[Country/Area]]</f>
        <v>Malaysia</v>
      </c>
    </row>
    <row r="141" spans="1:18" x14ac:dyDescent="0.35">
      <c r="A141" s="2">
        <v>142</v>
      </c>
      <c r="B141" t="s">
        <v>370</v>
      </c>
      <c r="C141" t="s">
        <v>370</v>
      </c>
      <c r="D141" s="2">
        <v>34</v>
      </c>
      <c r="E141" t="s">
        <v>443</v>
      </c>
      <c r="F141" s="2">
        <v>34</v>
      </c>
      <c r="G141" t="s">
        <v>443</v>
      </c>
      <c r="H141" s="2" t="s">
        <v>780</v>
      </c>
      <c r="I141" t="s">
        <v>461</v>
      </c>
      <c r="J141" t="s">
        <v>459</v>
      </c>
      <c r="K141" s="2">
        <v>462</v>
      </c>
      <c r="L141" t="s">
        <v>460</v>
      </c>
      <c r="M141" s="3" t="s">
        <v>19</v>
      </c>
      <c r="N141" s="3" t="s">
        <v>19</v>
      </c>
      <c r="P141" t="str">
        <f>IF(Tabelle1[[#This Row],[UN Sovereign States (bool)]]="x", Tabelle1[[#This Row],[ISO-alpha3 Code]], Tabelle1[[#This Row],[Occupier]])</f>
        <v>MDV</v>
      </c>
      <c r="Q141" t="str">
        <f>VLOOKUP(Tabelle1[[#This Row],[Assist]],Tabelle1[[ISO-alpha3 Code]:[Country/Area]],2,FALSE)</f>
        <v>Maldives</v>
      </c>
      <c r="R141" t="str">
        <f>Tabelle1[[#This Row],[Country/Area]]</f>
        <v>Maldives</v>
      </c>
    </row>
    <row r="142" spans="1:18" x14ac:dyDescent="0.35">
      <c r="A142" s="2">
        <v>2</v>
      </c>
      <c r="B142" t="s">
        <v>2</v>
      </c>
      <c r="C142" t="s">
        <v>2</v>
      </c>
      <c r="D142" s="2">
        <v>202</v>
      </c>
      <c r="E142" t="s">
        <v>26</v>
      </c>
      <c r="F142" s="2">
        <v>11</v>
      </c>
      <c r="G142" t="s">
        <v>138</v>
      </c>
      <c r="H142" s="2" t="s">
        <v>785</v>
      </c>
      <c r="I142" t="s">
        <v>168</v>
      </c>
      <c r="J142" t="s">
        <v>166</v>
      </c>
      <c r="K142" s="2">
        <v>466</v>
      </c>
      <c r="L142" t="s">
        <v>167</v>
      </c>
      <c r="M142" s="3" t="s">
        <v>19</v>
      </c>
      <c r="N142" s="3" t="s">
        <v>19</v>
      </c>
      <c r="P142" t="str">
        <f>IF(Tabelle1[[#This Row],[UN Sovereign States (bool)]]="x", Tabelle1[[#This Row],[ISO-alpha3 Code]], Tabelle1[[#This Row],[Occupier]])</f>
        <v>MLI</v>
      </c>
      <c r="Q142" t="str">
        <f>VLOOKUP(Tabelle1[[#This Row],[Assist]],Tabelle1[[ISO-alpha3 Code]:[Country/Area]],2,FALSE)</f>
        <v>Mali</v>
      </c>
      <c r="R142" t="str">
        <f>Tabelle1[[#This Row],[Country/Area]]</f>
        <v>Mali</v>
      </c>
    </row>
    <row r="143" spans="1:18" x14ac:dyDescent="0.35">
      <c r="A143" s="2">
        <v>150</v>
      </c>
      <c r="B143" t="s">
        <v>525</v>
      </c>
      <c r="C143" t="s">
        <v>525</v>
      </c>
      <c r="D143" s="2">
        <v>39</v>
      </c>
      <c r="E143" t="s">
        <v>606</v>
      </c>
      <c r="F143" s="2">
        <v>39</v>
      </c>
      <c r="G143" t="s">
        <v>606</v>
      </c>
      <c r="H143" s="4" t="s">
        <v>791</v>
      </c>
      <c r="I143" t="s">
        <v>633</v>
      </c>
      <c r="J143" t="s">
        <v>631</v>
      </c>
      <c r="K143" s="2">
        <v>470</v>
      </c>
      <c r="L143" t="s">
        <v>632</v>
      </c>
      <c r="M143" s="3" t="s">
        <v>19</v>
      </c>
      <c r="N143" s="3" t="s">
        <v>19</v>
      </c>
      <c r="P143" t="str">
        <f>IF(Tabelle1[[#This Row],[UN Sovereign States (bool)]]="x", Tabelle1[[#This Row],[ISO-alpha3 Code]], Tabelle1[[#This Row],[Occupier]])</f>
        <v>MLT</v>
      </c>
      <c r="Q143" t="str">
        <f>VLOOKUP(Tabelle1[[#This Row],[Assist]],Tabelle1[[ISO-alpha3 Code]:[Country/Area]],2,FALSE)</f>
        <v>Malta</v>
      </c>
      <c r="R143" t="str">
        <f>Tabelle1[[#This Row],[Country/Area]]</f>
        <v>Malta</v>
      </c>
    </row>
    <row r="144" spans="1:18" x14ac:dyDescent="0.35">
      <c r="A144" s="2">
        <v>19</v>
      </c>
      <c r="B144" t="s">
        <v>190</v>
      </c>
      <c r="C144" s="3" t="s">
        <v>778</v>
      </c>
      <c r="D144" s="2">
        <v>419</v>
      </c>
      <c r="E144" t="s">
        <v>191</v>
      </c>
      <c r="F144" s="2">
        <v>29</v>
      </c>
      <c r="G144" t="s">
        <v>192</v>
      </c>
      <c r="H144" t="s">
        <v>192</v>
      </c>
      <c r="I144" t="s">
        <v>243</v>
      </c>
      <c r="J144" t="s">
        <v>241</v>
      </c>
      <c r="K144" s="2">
        <v>474</v>
      </c>
      <c r="L144" t="s">
        <v>242</v>
      </c>
      <c r="M144" s="3" t="s">
        <v>19</v>
      </c>
      <c r="N144" s="3"/>
      <c r="O144" s="3" t="s">
        <v>664</v>
      </c>
      <c r="P144" t="str">
        <f>IF(Tabelle1[[#This Row],[UN Sovereign States (bool)]]="x", Tabelle1[[#This Row],[ISO-alpha3 Code]], Tabelle1[[#This Row],[Occupier]])</f>
        <v>FRA</v>
      </c>
      <c r="Q144" t="str">
        <f>VLOOKUP(Tabelle1[[#This Row],[Assist]],Tabelle1[[ISO-alpha3 Code]:[Country/Area]],2,FALSE)</f>
        <v>France</v>
      </c>
      <c r="R144" t="str">
        <f>Tabelle1[[#This Row],[Country/Area]]</f>
        <v>Martinique</v>
      </c>
    </row>
    <row r="145" spans="1:18" x14ac:dyDescent="0.35">
      <c r="A145" s="2">
        <v>2</v>
      </c>
      <c r="B145" t="s">
        <v>2</v>
      </c>
      <c r="C145" t="s">
        <v>2</v>
      </c>
      <c r="D145" s="2">
        <v>202</v>
      </c>
      <c r="E145" t="s">
        <v>26</v>
      </c>
      <c r="F145" s="2">
        <v>11</v>
      </c>
      <c r="G145" t="s">
        <v>138</v>
      </c>
      <c r="H145" s="2" t="s">
        <v>786</v>
      </c>
      <c r="I145" t="s">
        <v>171</v>
      </c>
      <c r="J145" t="s">
        <v>169</v>
      </c>
      <c r="K145" s="2">
        <v>478</v>
      </c>
      <c r="L145" t="s">
        <v>170</v>
      </c>
      <c r="M145" s="3" t="s">
        <v>19</v>
      </c>
      <c r="N145" s="3" t="s">
        <v>19</v>
      </c>
      <c r="P145" t="str">
        <f>IF(Tabelle1[[#This Row],[UN Sovereign States (bool)]]="x", Tabelle1[[#This Row],[ISO-alpha3 Code]], Tabelle1[[#This Row],[Occupier]])</f>
        <v>MRT</v>
      </c>
      <c r="Q145" t="str">
        <f>VLOOKUP(Tabelle1[[#This Row],[Assist]],Tabelle1[[ISO-alpha3 Code]:[Country/Area]],2,FALSE)</f>
        <v>Mauritania</v>
      </c>
      <c r="R145" t="str">
        <f>Tabelle1[[#This Row],[Country/Area]]</f>
        <v>Mauritania</v>
      </c>
    </row>
    <row r="146" spans="1:18" x14ac:dyDescent="0.35">
      <c r="A146" s="2">
        <v>2</v>
      </c>
      <c r="B146" t="s">
        <v>2</v>
      </c>
      <c r="C146" t="s">
        <v>2</v>
      </c>
      <c r="D146" s="2">
        <v>202</v>
      </c>
      <c r="E146" t="s">
        <v>26</v>
      </c>
      <c r="F146" s="2">
        <v>14</v>
      </c>
      <c r="G146" t="s">
        <v>27</v>
      </c>
      <c r="H146" s="2" t="s">
        <v>780</v>
      </c>
      <c r="I146" t="s">
        <v>60</v>
      </c>
      <c r="J146" t="s">
        <v>58</v>
      </c>
      <c r="K146" s="2">
        <v>480</v>
      </c>
      <c r="L146" t="s">
        <v>59</v>
      </c>
      <c r="M146" s="3" t="s">
        <v>19</v>
      </c>
      <c r="N146" s="3" t="s">
        <v>19</v>
      </c>
      <c r="P146" t="str">
        <f>IF(Tabelle1[[#This Row],[UN Sovereign States (bool)]]="x", Tabelle1[[#This Row],[ISO-alpha3 Code]], Tabelle1[[#This Row],[Occupier]])</f>
        <v>MUS</v>
      </c>
      <c r="Q146" t="str">
        <f>VLOOKUP(Tabelle1[[#This Row],[Assist]],Tabelle1[[ISO-alpha3 Code]:[Country/Area]],2,FALSE)</f>
        <v>Mauritius</v>
      </c>
      <c r="R146" t="str">
        <f>Tabelle1[[#This Row],[Country/Area]]</f>
        <v>Mauritius</v>
      </c>
    </row>
    <row r="147" spans="1:18" x14ac:dyDescent="0.35">
      <c r="A147" s="2">
        <v>19</v>
      </c>
      <c r="B147" t="s">
        <v>190</v>
      </c>
      <c r="C147" s="3" t="s">
        <v>778</v>
      </c>
      <c r="D147" s="2">
        <v>419</v>
      </c>
      <c r="E147" t="s">
        <v>191</v>
      </c>
      <c r="F147" s="2">
        <v>13</v>
      </c>
      <c r="G147" t="s">
        <v>277</v>
      </c>
      <c r="H147" s="2" t="s">
        <v>277</v>
      </c>
      <c r="I147" t="s">
        <v>295</v>
      </c>
      <c r="J147" t="s">
        <v>293</v>
      </c>
      <c r="K147" s="2">
        <v>484</v>
      </c>
      <c r="L147" t="s">
        <v>294</v>
      </c>
      <c r="M147" s="3" t="s">
        <v>19</v>
      </c>
      <c r="N147" s="3" t="s">
        <v>19</v>
      </c>
      <c r="P147" t="str">
        <f>IF(Tabelle1[[#This Row],[UN Sovereign States (bool)]]="x", Tabelle1[[#This Row],[ISO-alpha3 Code]], Tabelle1[[#This Row],[Occupier]])</f>
        <v>MEX</v>
      </c>
      <c r="Q147" t="str">
        <f>VLOOKUP(Tabelle1[[#This Row],[Assist]],Tabelle1[[ISO-alpha3 Code]:[Country/Area]],2,FALSE)</f>
        <v>Mexico</v>
      </c>
      <c r="R147" t="str">
        <f>Tabelle1[[#This Row],[Country/Area]]</f>
        <v>Mexico</v>
      </c>
    </row>
    <row r="148" spans="1:18" x14ac:dyDescent="0.35">
      <c r="A148" s="2">
        <v>150</v>
      </c>
      <c r="B148" t="s">
        <v>525</v>
      </c>
      <c r="C148" t="s">
        <v>525</v>
      </c>
      <c r="D148" s="2">
        <v>155</v>
      </c>
      <c r="E148" t="s">
        <v>655</v>
      </c>
      <c r="F148" s="2">
        <v>155</v>
      </c>
      <c r="G148" t="s">
        <v>655</v>
      </c>
      <c r="H148" s="4" t="s">
        <v>791</v>
      </c>
      <c r="I148" t="s">
        <v>676</v>
      </c>
      <c r="J148" t="s">
        <v>674</v>
      </c>
      <c r="K148" s="2">
        <v>492</v>
      </c>
      <c r="L148" t="s">
        <v>675</v>
      </c>
      <c r="M148" s="3" t="s">
        <v>19</v>
      </c>
      <c r="N148" s="3" t="s">
        <v>19</v>
      </c>
      <c r="P148" t="str">
        <f>IF(Tabelle1[[#This Row],[UN Sovereign States (bool)]]="x", Tabelle1[[#This Row],[ISO-alpha3 Code]], Tabelle1[[#This Row],[Occupier]])</f>
        <v>MCO</v>
      </c>
      <c r="Q148" t="str">
        <f>VLOOKUP(Tabelle1[[#This Row],[Assist]],Tabelle1[[ISO-alpha3 Code]:[Country/Area]],2,FALSE)</f>
        <v>Monaco</v>
      </c>
      <c r="R148" t="str">
        <f>Tabelle1[[#This Row],[Country/Area]]</f>
        <v>Monaco</v>
      </c>
    </row>
    <row r="149" spans="1:18" x14ac:dyDescent="0.35">
      <c r="A149" s="2">
        <v>142</v>
      </c>
      <c r="B149" t="s">
        <v>370</v>
      </c>
      <c r="C149" t="s">
        <v>370</v>
      </c>
      <c r="D149" s="2">
        <v>30</v>
      </c>
      <c r="E149" t="s">
        <v>387</v>
      </c>
      <c r="F149" s="2">
        <v>30</v>
      </c>
      <c r="G149" t="s">
        <v>387</v>
      </c>
      <c r="H149" t="s">
        <v>796</v>
      </c>
      <c r="I149" t="s">
        <v>405</v>
      </c>
      <c r="J149" t="s">
        <v>403</v>
      </c>
      <c r="K149" s="2">
        <v>496</v>
      </c>
      <c r="L149" t="s">
        <v>404</v>
      </c>
      <c r="M149" s="3" t="s">
        <v>19</v>
      </c>
      <c r="N149" s="3" t="s">
        <v>19</v>
      </c>
      <c r="P149" t="str">
        <f>IF(Tabelle1[[#This Row],[UN Sovereign States (bool)]]="x", Tabelle1[[#This Row],[ISO-alpha3 Code]], Tabelle1[[#This Row],[Occupier]])</f>
        <v>MNG</v>
      </c>
      <c r="Q149" t="str">
        <f>VLOOKUP(Tabelle1[[#This Row],[Assist]],Tabelle1[[ISO-alpha3 Code]:[Country/Area]],2,FALSE)</f>
        <v>Mongolia</v>
      </c>
      <c r="R149" t="str">
        <f>Tabelle1[[#This Row],[Country/Area]]</f>
        <v>Mongolia</v>
      </c>
    </row>
    <row r="150" spans="1:18" x14ac:dyDescent="0.35">
      <c r="A150" s="2">
        <v>150</v>
      </c>
      <c r="B150" t="s">
        <v>525</v>
      </c>
      <c r="C150" t="s">
        <v>525</v>
      </c>
      <c r="D150" s="2">
        <v>151</v>
      </c>
      <c r="E150" t="s">
        <v>526</v>
      </c>
      <c r="F150" s="2">
        <v>151</v>
      </c>
      <c r="G150" t="s">
        <v>526</v>
      </c>
      <c r="H150" s="2" t="s">
        <v>789</v>
      </c>
      <c r="I150" t="s">
        <v>544</v>
      </c>
      <c r="J150" t="s">
        <v>542</v>
      </c>
      <c r="K150" s="2">
        <v>498</v>
      </c>
      <c r="L150" t="s">
        <v>543</v>
      </c>
      <c r="M150" s="3" t="s">
        <v>19</v>
      </c>
      <c r="N150" s="3" t="s">
        <v>19</v>
      </c>
      <c r="P150" t="str">
        <f>IF(Tabelle1[[#This Row],[UN Sovereign States (bool)]]="x", Tabelle1[[#This Row],[ISO-alpha3 Code]], Tabelle1[[#This Row],[Occupier]])</f>
        <v>MDA</v>
      </c>
      <c r="Q150" t="str">
        <f>VLOOKUP(Tabelle1[[#This Row],[Assist]],Tabelle1[[ISO-alpha3 Code]:[Country/Area]],2,FALSE)</f>
        <v>Republic of Moldova</v>
      </c>
      <c r="R150" t="str">
        <f>Tabelle1[[#This Row],[Country/Area]]</f>
        <v>Republic of Moldova</v>
      </c>
    </row>
    <row r="151" spans="1:18" x14ac:dyDescent="0.35">
      <c r="A151" s="2">
        <v>150</v>
      </c>
      <c r="B151" t="s">
        <v>525</v>
      </c>
      <c r="C151" t="s">
        <v>525</v>
      </c>
      <c r="D151" s="2">
        <v>39</v>
      </c>
      <c r="E151" t="s">
        <v>606</v>
      </c>
      <c r="F151" s="2">
        <v>39</v>
      </c>
      <c r="G151" t="s">
        <v>606</v>
      </c>
      <c r="H151" s="4" t="s">
        <v>791</v>
      </c>
      <c r="I151" t="s">
        <v>636</v>
      </c>
      <c r="J151" t="s">
        <v>634</v>
      </c>
      <c r="K151" s="2">
        <v>499</v>
      </c>
      <c r="L151" t="s">
        <v>635</v>
      </c>
      <c r="M151" s="3" t="s">
        <v>19</v>
      </c>
      <c r="N151" s="3" t="s">
        <v>19</v>
      </c>
      <c r="P151" t="str">
        <f>IF(Tabelle1[[#This Row],[UN Sovereign States (bool)]]="x", Tabelle1[[#This Row],[ISO-alpha3 Code]], Tabelle1[[#This Row],[Occupier]])</f>
        <v>MNE</v>
      </c>
      <c r="Q151" t="str">
        <f>VLOOKUP(Tabelle1[[#This Row],[Assist]],Tabelle1[[ISO-alpha3 Code]:[Country/Area]],2,FALSE)</f>
        <v>Montenegro</v>
      </c>
      <c r="R151" t="str">
        <f>Tabelle1[[#This Row],[Country/Area]]</f>
        <v>Montenegro</v>
      </c>
    </row>
    <row r="152" spans="1:18" x14ac:dyDescent="0.35">
      <c r="A152" s="2">
        <v>19</v>
      </c>
      <c r="B152" t="s">
        <v>190</v>
      </c>
      <c r="C152" s="3" t="s">
        <v>778</v>
      </c>
      <c r="D152" s="2">
        <v>419</v>
      </c>
      <c r="E152" t="s">
        <v>191</v>
      </c>
      <c r="F152" s="2">
        <v>29</v>
      </c>
      <c r="G152" t="s">
        <v>192</v>
      </c>
      <c r="H152" t="s">
        <v>192</v>
      </c>
      <c r="I152" t="s">
        <v>246</v>
      </c>
      <c r="J152" t="s">
        <v>244</v>
      </c>
      <c r="K152" s="2">
        <v>500</v>
      </c>
      <c r="L152" t="s">
        <v>245</v>
      </c>
      <c r="M152" s="3" t="s">
        <v>19</v>
      </c>
      <c r="N152" s="3"/>
      <c r="O152" s="3" t="s">
        <v>605</v>
      </c>
      <c r="P152" t="str">
        <f>IF(Tabelle1[[#This Row],[UN Sovereign States (bool)]]="x", Tabelle1[[#This Row],[ISO-alpha3 Code]], Tabelle1[[#This Row],[Occupier]])</f>
        <v>GBR</v>
      </c>
      <c r="Q152" t="str">
        <f>VLOOKUP(Tabelle1[[#This Row],[Assist]],Tabelle1[[ISO-alpha3 Code]:[Country/Area]],2,FALSE)</f>
        <v>United Kingdom of Great Britain and Northern Ireland</v>
      </c>
      <c r="R152" t="str">
        <f>Tabelle1[[#This Row],[Country/Area]]</f>
        <v>Montserrat</v>
      </c>
    </row>
    <row r="153" spans="1:18" x14ac:dyDescent="0.35">
      <c r="A153" s="2">
        <v>2</v>
      </c>
      <c r="B153" t="s">
        <v>2</v>
      </c>
      <c r="C153" t="s">
        <v>2</v>
      </c>
      <c r="D153" s="2">
        <v>15</v>
      </c>
      <c r="E153" t="s">
        <v>3</v>
      </c>
      <c r="F153" s="2">
        <v>15</v>
      </c>
      <c r="G153" t="s">
        <v>3</v>
      </c>
      <c r="H153" s="2" t="s">
        <v>786</v>
      </c>
      <c r="I153" t="s">
        <v>15</v>
      </c>
      <c r="J153" t="s">
        <v>13</v>
      </c>
      <c r="K153" s="2">
        <v>504</v>
      </c>
      <c r="L153" t="s">
        <v>14</v>
      </c>
      <c r="M153" s="3" t="s">
        <v>19</v>
      </c>
      <c r="N153" s="3" t="s">
        <v>19</v>
      </c>
      <c r="P153" t="str">
        <f>IF(Tabelle1[[#This Row],[UN Sovereign States (bool)]]="x", Tabelle1[[#This Row],[ISO-alpha3 Code]], Tabelle1[[#This Row],[Occupier]])</f>
        <v>MAR</v>
      </c>
      <c r="Q153" t="str">
        <f>VLOOKUP(Tabelle1[[#This Row],[Assist]],Tabelle1[[ISO-alpha3 Code]:[Country/Area]],2,FALSE)</f>
        <v>Morocco</v>
      </c>
      <c r="R153" t="str">
        <f>Tabelle1[[#This Row],[Country/Area]]</f>
        <v>Morocco</v>
      </c>
    </row>
    <row r="154" spans="1:18" x14ac:dyDescent="0.35">
      <c r="A154" s="2">
        <v>2</v>
      </c>
      <c r="B154" t="s">
        <v>2</v>
      </c>
      <c r="C154" t="s">
        <v>2</v>
      </c>
      <c r="D154" s="2">
        <v>202</v>
      </c>
      <c r="E154" t="s">
        <v>26</v>
      </c>
      <c r="F154" s="2">
        <v>14</v>
      </c>
      <c r="G154" t="s">
        <v>27</v>
      </c>
      <c r="H154" s="2" t="s">
        <v>781</v>
      </c>
      <c r="I154" t="s">
        <v>66</v>
      </c>
      <c r="J154" t="s">
        <v>64</v>
      </c>
      <c r="K154" s="2">
        <v>508</v>
      </c>
      <c r="L154" t="s">
        <v>65</v>
      </c>
      <c r="M154" s="3" t="s">
        <v>19</v>
      </c>
      <c r="N154" s="3" t="s">
        <v>19</v>
      </c>
      <c r="P154" t="str">
        <f>IF(Tabelle1[[#This Row],[UN Sovereign States (bool)]]="x", Tabelle1[[#This Row],[ISO-alpha3 Code]], Tabelle1[[#This Row],[Occupier]])</f>
        <v>MOZ</v>
      </c>
      <c r="Q154" t="str">
        <f>VLOOKUP(Tabelle1[[#This Row],[Assist]],Tabelle1[[ISO-alpha3 Code]:[Country/Area]],2,FALSE)</f>
        <v>Mozambique</v>
      </c>
      <c r="R154" t="str">
        <f>Tabelle1[[#This Row],[Country/Area]]</f>
        <v>Mozambique</v>
      </c>
    </row>
    <row r="155" spans="1:18" x14ac:dyDescent="0.35">
      <c r="A155" s="2">
        <v>142</v>
      </c>
      <c r="B155" t="s">
        <v>370</v>
      </c>
      <c r="C155" t="s">
        <v>370</v>
      </c>
      <c r="D155" s="2">
        <v>145</v>
      </c>
      <c r="E155" t="s">
        <v>471</v>
      </c>
      <c r="F155" s="2">
        <v>145</v>
      </c>
      <c r="G155" t="s">
        <v>471</v>
      </c>
      <c r="H155" s="2" t="s">
        <v>799</v>
      </c>
      <c r="I155" t="s">
        <v>504</v>
      </c>
      <c r="J155" t="s">
        <v>502</v>
      </c>
      <c r="K155" s="2">
        <v>512</v>
      </c>
      <c r="L155" t="s">
        <v>503</v>
      </c>
      <c r="M155" s="3" t="s">
        <v>19</v>
      </c>
      <c r="N155" s="3" t="s">
        <v>19</v>
      </c>
      <c r="P155" t="str">
        <f>IF(Tabelle1[[#This Row],[UN Sovereign States (bool)]]="x", Tabelle1[[#This Row],[ISO-alpha3 Code]], Tabelle1[[#This Row],[Occupier]])</f>
        <v>OMN</v>
      </c>
      <c r="Q155" t="str">
        <f>VLOOKUP(Tabelle1[[#This Row],[Assist]],Tabelle1[[ISO-alpha3 Code]:[Country/Area]],2,FALSE)</f>
        <v>Oman</v>
      </c>
      <c r="R155" t="str">
        <f>Tabelle1[[#This Row],[Country/Area]]</f>
        <v>Oman</v>
      </c>
    </row>
    <row r="156" spans="1:18" x14ac:dyDescent="0.35">
      <c r="A156" s="2">
        <v>2</v>
      </c>
      <c r="B156" t="s">
        <v>2</v>
      </c>
      <c r="C156" t="s">
        <v>2</v>
      </c>
      <c r="D156" s="2">
        <v>202</v>
      </c>
      <c r="E156" t="s">
        <v>26</v>
      </c>
      <c r="F156" s="2">
        <v>18</v>
      </c>
      <c r="G156" t="s">
        <v>122</v>
      </c>
      <c r="H156" s="2" t="s">
        <v>783</v>
      </c>
      <c r="I156" t="s">
        <v>134</v>
      </c>
      <c r="J156" t="s">
        <v>132</v>
      </c>
      <c r="K156" s="2">
        <v>516</v>
      </c>
      <c r="L156" t="s">
        <v>133</v>
      </c>
      <c r="M156" s="3" t="s">
        <v>19</v>
      </c>
      <c r="N156" s="3" t="s">
        <v>19</v>
      </c>
      <c r="P156" t="str">
        <f>IF(Tabelle1[[#This Row],[UN Sovereign States (bool)]]="x", Tabelle1[[#This Row],[ISO-alpha3 Code]], Tabelle1[[#This Row],[Occupier]])</f>
        <v>NAM</v>
      </c>
      <c r="Q156" t="str">
        <f>VLOOKUP(Tabelle1[[#This Row],[Assist]],Tabelle1[[ISO-alpha3 Code]:[Country/Area]],2,FALSE)</f>
        <v>Namibia</v>
      </c>
      <c r="R156" t="str">
        <f>Tabelle1[[#This Row],[Country/Area]]</f>
        <v>Namibia</v>
      </c>
    </row>
    <row r="157" spans="1:18" x14ac:dyDescent="0.35">
      <c r="A157" s="2">
        <v>9</v>
      </c>
      <c r="B157" t="s">
        <v>683</v>
      </c>
      <c r="C157" t="s">
        <v>683</v>
      </c>
      <c r="D157" s="2">
        <v>57</v>
      </c>
      <c r="E157" t="s">
        <v>719</v>
      </c>
      <c r="F157" s="2">
        <v>57</v>
      </c>
      <c r="G157" t="s">
        <v>719</v>
      </c>
      <c r="H157" s="2" t="s">
        <v>788</v>
      </c>
      <c r="I157" t="s">
        <v>734</v>
      </c>
      <c r="J157" t="s">
        <v>732</v>
      </c>
      <c r="K157" s="2">
        <v>520</v>
      </c>
      <c r="L157" t="s">
        <v>733</v>
      </c>
      <c r="M157" s="3" t="s">
        <v>19</v>
      </c>
      <c r="N157" s="3" t="s">
        <v>19</v>
      </c>
      <c r="P157" t="str">
        <f>IF(Tabelle1[[#This Row],[UN Sovereign States (bool)]]="x", Tabelle1[[#This Row],[ISO-alpha3 Code]], Tabelle1[[#This Row],[Occupier]])</f>
        <v>NRU</v>
      </c>
      <c r="Q157" t="str">
        <f>VLOOKUP(Tabelle1[[#This Row],[Assist]],Tabelle1[[ISO-alpha3 Code]:[Country/Area]],2,FALSE)</f>
        <v>Nauru</v>
      </c>
      <c r="R157" t="str">
        <f>Tabelle1[[#This Row],[Country/Area]]</f>
        <v>Nauru</v>
      </c>
    </row>
    <row r="158" spans="1:18" x14ac:dyDescent="0.35">
      <c r="A158" s="2">
        <v>142</v>
      </c>
      <c r="B158" t="s">
        <v>370</v>
      </c>
      <c r="C158" t="s">
        <v>370</v>
      </c>
      <c r="D158" s="2">
        <v>34</v>
      </c>
      <c r="E158" t="s">
        <v>443</v>
      </c>
      <c r="F158" s="2">
        <v>34</v>
      </c>
      <c r="G158" t="s">
        <v>443</v>
      </c>
      <c r="H158" s="2" t="s">
        <v>801</v>
      </c>
      <c r="I158" t="s">
        <v>464</v>
      </c>
      <c r="J158" t="s">
        <v>462</v>
      </c>
      <c r="K158" s="2">
        <v>524</v>
      </c>
      <c r="L158" t="s">
        <v>463</v>
      </c>
      <c r="M158" s="3" t="s">
        <v>19</v>
      </c>
      <c r="N158" s="3" t="s">
        <v>19</v>
      </c>
      <c r="P158" t="str">
        <f>IF(Tabelle1[[#This Row],[UN Sovereign States (bool)]]="x", Tabelle1[[#This Row],[ISO-alpha3 Code]], Tabelle1[[#This Row],[Occupier]])</f>
        <v>NPL</v>
      </c>
      <c r="Q158" t="str">
        <f>VLOOKUP(Tabelle1[[#This Row],[Assist]],Tabelle1[[ISO-alpha3 Code]:[Country/Area]],2,FALSE)</f>
        <v>Nepal</v>
      </c>
      <c r="R158" t="str">
        <f>Tabelle1[[#This Row],[Country/Area]]</f>
        <v>Nepal</v>
      </c>
    </row>
    <row r="159" spans="1:18" x14ac:dyDescent="0.35">
      <c r="A159" s="2">
        <v>150</v>
      </c>
      <c r="B159" t="s">
        <v>525</v>
      </c>
      <c r="C159" t="s">
        <v>525</v>
      </c>
      <c r="D159" s="2">
        <v>155</v>
      </c>
      <c r="E159" t="s">
        <v>655</v>
      </c>
      <c r="F159" s="2">
        <v>155</v>
      </c>
      <c r="G159" t="s">
        <v>655</v>
      </c>
      <c r="H159" s="4" t="s">
        <v>790</v>
      </c>
      <c r="I159" t="s">
        <v>679</v>
      </c>
      <c r="J159" t="s">
        <v>677</v>
      </c>
      <c r="K159" s="2">
        <v>528</v>
      </c>
      <c r="L159" t="s">
        <v>678</v>
      </c>
      <c r="M159" s="3" t="s">
        <v>19</v>
      </c>
      <c r="N159" s="3" t="s">
        <v>19</v>
      </c>
      <c r="P159" t="str">
        <f>IF(Tabelle1[[#This Row],[UN Sovereign States (bool)]]="x", Tabelle1[[#This Row],[ISO-alpha3 Code]], Tabelle1[[#This Row],[Occupier]])</f>
        <v>NLD</v>
      </c>
      <c r="Q159" t="str">
        <f>VLOOKUP(Tabelle1[[#This Row],[Assist]],Tabelle1[[ISO-alpha3 Code]:[Country/Area]],2,FALSE)</f>
        <v>Netherlands (Kingdom of the)</v>
      </c>
      <c r="R159" s="3" t="s">
        <v>828</v>
      </c>
    </row>
    <row r="160" spans="1:18" x14ac:dyDescent="0.35">
      <c r="A160" s="2">
        <v>19</v>
      </c>
      <c r="B160" t="s">
        <v>190</v>
      </c>
      <c r="C160" s="3" t="s">
        <v>778</v>
      </c>
      <c r="D160" s="2">
        <v>419</v>
      </c>
      <c r="E160" t="s">
        <v>191</v>
      </c>
      <c r="F160" s="2">
        <v>29</v>
      </c>
      <c r="G160" t="s">
        <v>192</v>
      </c>
      <c r="H160" t="s">
        <v>192</v>
      </c>
      <c r="I160" t="s">
        <v>222</v>
      </c>
      <c r="J160" t="s">
        <v>220</v>
      </c>
      <c r="K160" s="2">
        <v>531</v>
      </c>
      <c r="L160" t="s">
        <v>221</v>
      </c>
      <c r="M160" s="3" t="s">
        <v>19</v>
      </c>
      <c r="N160" s="3"/>
      <c r="O160" s="3" t="s">
        <v>679</v>
      </c>
      <c r="P160" t="str">
        <f>IF(Tabelle1[[#This Row],[UN Sovereign States (bool)]]="x", Tabelle1[[#This Row],[ISO-alpha3 Code]], Tabelle1[[#This Row],[Occupier]])</f>
        <v>NLD</v>
      </c>
      <c r="Q160" t="str">
        <f>VLOOKUP(Tabelle1[[#This Row],[Assist]],Tabelle1[[ISO-alpha3 Code]:[Country/Area]],2,FALSE)</f>
        <v>Netherlands (Kingdom of the)</v>
      </c>
      <c r="R160" t="str">
        <f>Tabelle1[[#This Row],[Country/Area]]</f>
        <v>Curaçao</v>
      </c>
    </row>
    <row r="161" spans="1:18" x14ac:dyDescent="0.35">
      <c r="A161" s="2">
        <v>19</v>
      </c>
      <c r="B161" t="s">
        <v>190</v>
      </c>
      <c r="C161" s="3" t="s">
        <v>778</v>
      </c>
      <c r="D161" s="2">
        <v>419</v>
      </c>
      <c r="E161" t="s">
        <v>191</v>
      </c>
      <c r="F161" s="2">
        <v>29</v>
      </c>
      <c r="G161" t="s">
        <v>192</v>
      </c>
      <c r="H161" t="s">
        <v>192</v>
      </c>
      <c r="I161" t="s">
        <v>201</v>
      </c>
      <c r="J161" t="s">
        <v>199</v>
      </c>
      <c r="K161" s="2">
        <v>533</v>
      </c>
      <c r="L161" t="s">
        <v>200</v>
      </c>
      <c r="M161" s="3" t="s">
        <v>19</v>
      </c>
      <c r="N161" s="3"/>
      <c r="O161" s="3" t="s">
        <v>679</v>
      </c>
      <c r="P161" t="str">
        <f>IF(Tabelle1[[#This Row],[UN Sovereign States (bool)]]="x", Tabelle1[[#This Row],[ISO-alpha3 Code]], Tabelle1[[#This Row],[Occupier]])</f>
        <v>NLD</v>
      </c>
      <c r="Q161" t="str">
        <f>VLOOKUP(Tabelle1[[#This Row],[Assist]],Tabelle1[[ISO-alpha3 Code]:[Country/Area]],2,FALSE)</f>
        <v>Netherlands (Kingdom of the)</v>
      </c>
      <c r="R161" t="str">
        <f>Tabelle1[[#This Row],[Country/Area]]</f>
        <v>Aruba</v>
      </c>
    </row>
    <row r="162" spans="1:18" x14ac:dyDescent="0.35">
      <c r="A162" s="2">
        <v>19</v>
      </c>
      <c r="B162" t="s">
        <v>190</v>
      </c>
      <c r="C162" s="3" t="s">
        <v>778</v>
      </c>
      <c r="D162" s="2">
        <v>419</v>
      </c>
      <c r="E162" t="s">
        <v>191</v>
      </c>
      <c r="F162" s="2">
        <v>29</v>
      </c>
      <c r="G162" t="s">
        <v>192</v>
      </c>
      <c r="H162" t="s">
        <v>192</v>
      </c>
      <c r="I162" t="s">
        <v>267</v>
      </c>
      <c r="J162" t="s">
        <v>265</v>
      </c>
      <c r="K162" s="2">
        <v>534</v>
      </c>
      <c r="L162" t="s">
        <v>266</v>
      </c>
      <c r="M162" s="3" t="s">
        <v>19</v>
      </c>
      <c r="O162" s="3" t="s">
        <v>679</v>
      </c>
      <c r="P162" t="str">
        <f>IF(Tabelle1[[#This Row],[UN Sovereign States (bool)]]="x", Tabelle1[[#This Row],[ISO-alpha3 Code]], Tabelle1[[#This Row],[Occupier]])</f>
        <v>NLD</v>
      </c>
      <c r="Q162" t="str">
        <f>VLOOKUP(Tabelle1[[#This Row],[Assist]],Tabelle1[[ISO-alpha3 Code]:[Country/Area]],2,FALSE)</f>
        <v>Netherlands (Kingdom of the)</v>
      </c>
      <c r="R162" t="str">
        <f>Tabelle1[[#This Row],[Country/Area]]</f>
        <v>Sint Maarten (Dutch part)</v>
      </c>
    </row>
    <row r="163" spans="1:18" x14ac:dyDescent="0.35">
      <c r="A163" s="2">
        <v>19</v>
      </c>
      <c r="B163" t="s">
        <v>190</v>
      </c>
      <c r="C163" s="3" t="s">
        <v>778</v>
      </c>
      <c r="D163" s="2">
        <v>419</v>
      </c>
      <c r="E163" t="s">
        <v>191</v>
      </c>
      <c r="F163" s="2">
        <v>29</v>
      </c>
      <c r="G163" t="s">
        <v>192</v>
      </c>
      <c r="H163" t="s">
        <v>192</v>
      </c>
      <c r="I163" t="s">
        <v>210</v>
      </c>
      <c r="J163" t="s">
        <v>208</v>
      </c>
      <c r="K163" s="2">
        <v>535</v>
      </c>
      <c r="L163" t="s">
        <v>209</v>
      </c>
      <c r="M163" s="3" t="s">
        <v>19</v>
      </c>
      <c r="N163" s="3"/>
      <c r="O163" s="3" t="s">
        <v>679</v>
      </c>
      <c r="P163" t="str">
        <f>IF(Tabelle1[[#This Row],[UN Sovereign States (bool)]]="x", Tabelle1[[#This Row],[ISO-alpha3 Code]], Tabelle1[[#This Row],[Occupier]])</f>
        <v>NLD</v>
      </c>
      <c r="Q163" t="str">
        <f>VLOOKUP(Tabelle1[[#This Row],[Assist]],Tabelle1[[ISO-alpha3 Code]:[Country/Area]],2,FALSE)</f>
        <v>Netherlands (Kingdom of the)</v>
      </c>
      <c r="R163" t="str">
        <f>Tabelle1[[#This Row],[Country/Area]]</f>
        <v>Bonaire, Sint Eustatius and Saba</v>
      </c>
    </row>
    <row r="164" spans="1:18" x14ac:dyDescent="0.35">
      <c r="A164" s="2">
        <v>9</v>
      </c>
      <c r="B164" t="s">
        <v>683</v>
      </c>
      <c r="C164" t="s">
        <v>683</v>
      </c>
      <c r="D164" s="2">
        <v>54</v>
      </c>
      <c r="E164" t="s">
        <v>703</v>
      </c>
      <c r="F164" s="2">
        <v>54</v>
      </c>
      <c r="G164" t="s">
        <v>703</v>
      </c>
      <c r="H164" s="2" t="s">
        <v>788</v>
      </c>
      <c r="I164" t="s">
        <v>709</v>
      </c>
      <c r="J164" t="s">
        <v>707</v>
      </c>
      <c r="K164" s="2">
        <v>540</v>
      </c>
      <c r="L164" t="s">
        <v>708</v>
      </c>
      <c r="M164" s="3" t="s">
        <v>19</v>
      </c>
      <c r="N164" s="3"/>
      <c r="O164" s="3" t="s">
        <v>664</v>
      </c>
      <c r="P164" t="str">
        <f>IF(Tabelle1[[#This Row],[UN Sovereign States (bool)]]="x", Tabelle1[[#This Row],[ISO-alpha3 Code]], Tabelle1[[#This Row],[Occupier]])</f>
        <v>FRA</v>
      </c>
      <c r="Q164" t="str">
        <f>VLOOKUP(Tabelle1[[#This Row],[Assist]],Tabelle1[[ISO-alpha3 Code]:[Country/Area]],2,FALSE)</f>
        <v>France</v>
      </c>
      <c r="R164" t="str">
        <f>Tabelle1[[#This Row],[Country/Area]]</f>
        <v>New Caledonia</v>
      </c>
    </row>
    <row r="165" spans="1:18" x14ac:dyDescent="0.35">
      <c r="A165" s="2">
        <v>9</v>
      </c>
      <c r="B165" t="s">
        <v>683</v>
      </c>
      <c r="C165" t="s">
        <v>683</v>
      </c>
      <c r="D165" s="2">
        <v>54</v>
      </c>
      <c r="E165" t="s">
        <v>703</v>
      </c>
      <c r="F165" s="2">
        <v>54</v>
      </c>
      <c r="G165" t="s">
        <v>703</v>
      </c>
      <c r="H165" s="2" t="s">
        <v>788</v>
      </c>
      <c r="I165" t="s">
        <v>718</v>
      </c>
      <c r="J165" t="s">
        <v>716</v>
      </c>
      <c r="K165" s="2">
        <v>548</v>
      </c>
      <c r="L165" t="s">
        <v>717</v>
      </c>
      <c r="M165" s="3" t="s">
        <v>19</v>
      </c>
      <c r="N165" s="3" t="s">
        <v>19</v>
      </c>
      <c r="P165" t="str">
        <f>IF(Tabelle1[[#This Row],[UN Sovereign States (bool)]]="x", Tabelle1[[#This Row],[ISO-alpha3 Code]], Tabelle1[[#This Row],[Occupier]])</f>
        <v>VUT</v>
      </c>
      <c r="Q165" t="str">
        <f>VLOOKUP(Tabelle1[[#This Row],[Assist]],Tabelle1[[ISO-alpha3 Code]:[Country/Area]],2,FALSE)</f>
        <v>Vanuatu</v>
      </c>
      <c r="R165" t="str">
        <f>Tabelle1[[#This Row],[Country/Area]]</f>
        <v>Vanuatu</v>
      </c>
    </row>
    <row r="166" spans="1:18" x14ac:dyDescent="0.35">
      <c r="A166" s="2">
        <v>9</v>
      </c>
      <c r="B166" t="s">
        <v>683</v>
      </c>
      <c r="C166" t="s">
        <v>683</v>
      </c>
      <c r="D166" s="2">
        <v>53</v>
      </c>
      <c r="E166" t="s">
        <v>684</v>
      </c>
      <c r="F166" s="2">
        <v>53</v>
      </c>
      <c r="G166" t="s">
        <v>684</v>
      </c>
      <c r="H166" s="3" t="s">
        <v>787</v>
      </c>
      <c r="I166" t="s">
        <v>699</v>
      </c>
      <c r="J166" t="s">
        <v>697</v>
      </c>
      <c r="K166" s="2">
        <v>554</v>
      </c>
      <c r="L166" t="s">
        <v>698</v>
      </c>
      <c r="M166" s="3" t="s">
        <v>19</v>
      </c>
      <c r="N166" s="3" t="s">
        <v>19</v>
      </c>
      <c r="P166" t="str">
        <f>IF(Tabelle1[[#This Row],[UN Sovereign States (bool)]]="x", Tabelle1[[#This Row],[ISO-alpha3 Code]], Tabelle1[[#This Row],[Occupier]])</f>
        <v>NZL</v>
      </c>
      <c r="Q166" t="str">
        <f>VLOOKUP(Tabelle1[[#This Row],[Assist]],Tabelle1[[ISO-alpha3 Code]:[Country/Area]],2,FALSE)</f>
        <v>New Zealand</v>
      </c>
      <c r="R166" t="str">
        <f>Tabelle1[[#This Row],[Country/Area]]</f>
        <v>New Zealand</v>
      </c>
    </row>
    <row r="167" spans="1:18" x14ac:dyDescent="0.35">
      <c r="A167" s="2">
        <v>19</v>
      </c>
      <c r="B167" t="s">
        <v>190</v>
      </c>
      <c r="C167" s="3" t="s">
        <v>302</v>
      </c>
      <c r="D167" s="2">
        <v>419</v>
      </c>
      <c r="E167" t="s">
        <v>191</v>
      </c>
      <c r="F167" s="2">
        <v>13</v>
      </c>
      <c r="G167" t="s">
        <v>277</v>
      </c>
      <c r="H167" s="2" t="s">
        <v>277</v>
      </c>
      <c r="I167" t="s">
        <v>298</v>
      </c>
      <c r="J167" t="s">
        <v>296</v>
      </c>
      <c r="K167" s="2">
        <v>558</v>
      </c>
      <c r="L167" t="s">
        <v>297</v>
      </c>
      <c r="M167" s="3" t="s">
        <v>19</v>
      </c>
      <c r="N167" s="3" t="s">
        <v>19</v>
      </c>
      <c r="P167" t="str">
        <f>IF(Tabelle1[[#This Row],[UN Sovereign States (bool)]]="x", Tabelle1[[#This Row],[ISO-alpha3 Code]], Tabelle1[[#This Row],[Occupier]])</f>
        <v>NIC</v>
      </c>
      <c r="Q167" t="str">
        <f>VLOOKUP(Tabelle1[[#This Row],[Assist]],Tabelle1[[ISO-alpha3 Code]:[Country/Area]],2,FALSE)</f>
        <v>Nicaragua</v>
      </c>
      <c r="R167" t="str">
        <f>Tabelle1[[#This Row],[Country/Area]]</f>
        <v>Nicaragua</v>
      </c>
    </row>
    <row r="168" spans="1:18" x14ac:dyDescent="0.35">
      <c r="A168" s="2">
        <v>2</v>
      </c>
      <c r="B168" t="s">
        <v>2</v>
      </c>
      <c r="C168" t="s">
        <v>2</v>
      </c>
      <c r="D168" s="2">
        <v>202</v>
      </c>
      <c r="E168" t="s">
        <v>26</v>
      </c>
      <c r="F168" s="2">
        <v>11</v>
      </c>
      <c r="G168" t="s">
        <v>138</v>
      </c>
      <c r="H168" s="2" t="s">
        <v>785</v>
      </c>
      <c r="I168" t="s">
        <v>174</v>
      </c>
      <c r="J168" t="s">
        <v>172</v>
      </c>
      <c r="K168" s="2">
        <v>562</v>
      </c>
      <c r="L168" t="s">
        <v>173</v>
      </c>
      <c r="M168" s="3" t="s">
        <v>19</v>
      </c>
      <c r="N168" s="3" t="s">
        <v>19</v>
      </c>
      <c r="P168" t="str">
        <f>IF(Tabelle1[[#This Row],[UN Sovereign States (bool)]]="x", Tabelle1[[#This Row],[ISO-alpha3 Code]], Tabelle1[[#This Row],[Occupier]])</f>
        <v>NER</v>
      </c>
      <c r="Q168" t="str">
        <f>VLOOKUP(Tabelle1[[#This Row],[Assist]],Tabelle1[[ISO-alpha3 Code]:[Country/Area]],2,FALSE)</f>
        <v>Niger</v>
      </c>
      <c r="R168" t="str">
        <f>Tabelle1[[#This Row],[Country/Area]]</f>
        <v>Niger</v>
      </c>
    </row>
    <row r="169" spans="1:18" x14ac:dyDescent="0.35">
      <c r="A169" s="2">
        <v>2</v>
      </c>
      <c r="B169" t="s">
        <v>2</v>
      </c>
      <c r="C169" t="s">
        <v>2</v>
      </c>
      <c r="D169" s="2">
        <v>202</v>
      </c>
      <c r="E169" t="s">
        <v>26</v>
      </c>
      <c r="F169" s="2">
        <v>11</v>
      </c>
      <c r="G169" t="s">
        <v>138</v>
      </c>
      <c r="H169" s="2" t="s">
        <v>785</v>
      </c>
      <c r="I169" t="s">
        <v>177</v>
      </c>
      <c r="J169" t="s">
        <v>175</v>
      </c>
      <c r="K169" s="2">
        <v>566</v>
      </c>
      <c r="L169" t="s">
        <v>176</v>
      </c>
      <c r="M169" s="3" t="s">
        <v>19</v>
      </c>
      <c r="N169" s="3" t="s">
        <v>19</v>
      </c>
      <c r="P169" t="str">
        <f>IF(Tabelle1[[#This Row],[UN Sovereign States (bool)]]="x", Tabelle1[[#This Row],[ISO-alpha3 Code]], Tabelle1[[#This Row],[Occupier]])</f>
        <v>NGA</v>
      </c>
      <c r="Q169" t="str">
        <f>VLOOKUP(Tabelle1[[#This Row],[Assist]],Tabelle1[[ISO-alpha3 Code]:[Country/Area]],2,FALSE)</f>
        <v>Nigeria</v>
      </c>
      <c r="R169" t="str">
        <f>Tabelle1[[#This Row],[Country/Area]]</f>
        <v>Nigeria</v>
      </c>
    </row>
    <row r="170" spans="1:18" x14ac:dyDescent="0.35">
      <c r="A170" s="2">
        <v>9</v>
      </c>
      <c r="B170" t="s">
        <v>683</v>
      </c>
      <c r="C170" t="s">
        <v>683</v>
      </c>
      <c r="D170" s="2">
        <v>61</v>
      </c>
      <c r="E170" t="s">
        <v>744</v>
      </c>
      <c r="F170" s="2">
        <v>61</v>
      </c>
      <c r="G170" t="s">
        <v>744</v>
      </c>
      <c r="H170" s="2" t="s">
        <v>788</v>
      </c>
      <c r="I170" t="s">
        <v>756</v>
      </c>
      <c r="J170" t="s">
        <v>754</v>
      </c>
      <c r="K170" s="2">
        <v>570</v>
      </c>
      <c r="L170" t="s">
        <v>755</v>
      </c>
      <c r="M170" s="3" t="s">
        <v>19</v>
      </c>
      <c r="N170" s="3"/>
      <c r="O170" s="3" t="s">
        <v>699</v>
      </c>
      <c r="P170" t="str">
        <f>IF(Tabelle1[[#This Row],[UN Sovereign States (bool)]]="x", Tabelle1[[#This Row],[ISO-alpha3 Code]], Tabelle1[[#This Row],[Occupier]])</f>
        <v>NZL</v>
      </c>
      <c r="Q170" t="str">
        <f>VLOOKUP(Tabelle1[[#This Row],[Assist]],Tabelle1[[ISO-alpha3 Code]:[Country/Area]],2,FALSE)</f>
        <v>New Zealand</v>
      </c>
      <c r="R170" t="str">
        <f>Tabelle1[[#This Row],[Country/Area]]</f>
        <v>Niue</v>
      </c>
    </row>
    <row r="171" spans="1:18" x14ac:dyDescent="0.35">
      <c r="A171" s="2">
        <v>9</v>
      </c>
      <c r="B171" t="s">
        <v>683</v>
      </c>
      <c r="C171" t="s">
        <v>683</v>
      </c>
      <c r="D171" s="2">
        <v>53</v>
      </c>
      <c r="E171" t="s">
        <v>684</v>
      </c>
      <c r="F171" s="2">
        <v>53</v>
      </c>
      <c r="G171" t="s">
        <v>684</v>
      </c>
      <c r="H171" s="2" t="s">
        <v>788</v>
      </c>
      <c r="I171" t="s">
        <v>702</v>
      </c>
      <c r="J171" t="s">
        <v>700</v>
      </c>
      <c r="K171" s="2">
        <v>574</v>
      </c>
      <c r="L171" t="s">
        <v>701</v>
      </c>
      <c r="M171" s="3" t="s">
        <v>19</v>
      </c>
      <c r="N171" s="3"/>
      <c r="O171" s="3" t="s">
        <v>687</v>
      </c>
      <c r="P171" t="str">
        <f>IF(Tabelle1[[#This Row],[UN Sovereign States (bool)]]="x", Tabelle1[[#This Row],[ISO-alpha3 Code]], Tabelle1[[#This Row],[Occupier]])</f>
        <v>AUS</v>
      </c>
      <c r="Q171" t="str">
        <f>VLOOKUP(Tabelle1[[#This Row],[Assist]],Tabelle1[[ISO-alpha3 Code]:[Country/Area]],2,FALSE)</f>
        <v>Australia</v>
      </c>
      <c r="R171" t="str">
        <f>Tabelle1[[#This Row],[Country/Area]]</f>
        <v>Norfolk Island</v>
      </c>
    </row>
    <row r="172" spans="1:18" x14ac:dyDescent="0.35">
      <c r="A172" s="2">
        <v>150</v>
      </c>
      <c r="B172" t="s">
        <v>525</v>
      </c>
      <c r="C172" t="s">
        <v>525</v>
      </c>
      <c r="D172" s="2">
        <v>154</v>
      </c>
      <c r="E172" t="s">
        <v>557</v>
      </c>
      <c r="F172" s="2">
        <v>154</v>
      </c>
      <c r="G172" t="s">
        <v>557</v>
      </c>
      <c r="H172" s="2" t="s">
        <v>790</v>
      </c>
      <c r="I172" t="s">
        <v>596</v>
      </c>
      <c r="J172" t="s">
        <v>594</v>
      </c>
      <c r="K172" s="2">
        <v>578</v>
      </c>
      <c r="L172" t="s">
        <v>595</v>
      </c>
      <c r="M172" s="3" t="s">
        <v>19</v>
      </c>
      <c r="N172" s="3" t="s">
        <v>19</v>
      </c>
      <c r="P172" t="str">
        <f>IF(Tabelle1[[#This Row],[UN Sovereign States (bool)]]="x", Tabelle1[[#This Row],[ISO-alpha3 Code]], Tabelle1[[#This Row],[Occupier]])</f>
        <v>NOR</v>
      </c>
      <c r="Q172" t="str">
        <f>VLOOKUP(Tabelle1[[#This Row],[Assist]],Tabelle1[[ISO-alpha3 Code]:[Country/Area]],2,FALSE)</f>
        <v>Norway</v>
      </c>
      <c r="R172" t="str">
        <f>Tabelle1[[#This Row],[Country/Area]]</f>
        <v>Norway</v>
      </c>
    </row>
    <row r="173" spans="1:18" x14ac:dyDescent="0.35">
      <c r="A173" s="2">
        <v>9</v>
      </c>
      <c r="B173" t="s">
        <v>683</v>
      </c>
      <c r="C173" t="s">
        <v>683</v>
      </c>
      <c r="D173" s="2">
        <v>57</v>
      </c>
      <c r="E173" t="s">
        <v>719</v>
      </c>
      <c r="F173" s="2">
        <v>57</v>
      </c>
      <c r="G173" t="s">
        <v>719</v>
      </c>
      <c r="H173" s="2" t="s">
        <v>788</v>
      </c>
      <c r="I173" t="s">
        <v>737</v>
      </c>
      <c r="J173" t="s">
        <v>735</v>
      </c>
      <c r="K173" s="2">
        <v>580</v>
      </c>
      <c r="L173" t="s">
        <v>736</v>
      </c>
      <c r="M173" s="3" t="s">
        <v>19</v>
      </c>
      <c r="N173" s="3"/>
      <c r="O173" s="3" t="s">
        <v>366</v>
      </c>
      <c r="P173" t="str">
        <f>IF(Tabelle1[[#This Row],[UN Sovereign States (bool)]]="x", Tabelle1[[#This Row],[ISO-alpha3 Code]], Tabelle1[[#This Row],[Occupier]])</f>
        <v>USA</v>
      </c>
      <c r="Q173" t="str">
        <f>VLOOKUP(Tabelle1[[#This Row],[Assist]],Tabelle1[[ISO-alpha3 Code]:[Country/Area]],2,FALSE)</f>
        <v>United States of America</v>
      </c>
      <c r="R173" t="str">
        <f>Tabelle1[[#This Row],[Country/Area]]</f>
        <v>Northern Mariana Islands</v>
      </c>
    </row>
    <row r="174" spans="1:18" x14ac:dyDescent="0.35">
      <c r="A174" s="2">
        <v>9</v>
      </c>
      <c r="B174" t="s">
        <v>683</v>
      </c>
      <c r="C174" t="s">
        <v>683</v>
      </c>
      <c r="D174" s="2">
        <v>57</v>
      </c>
      <c r="E174" t="s">
        <v>719</v>
      </c>
      <c r="F174" s="2">
        <v>57</v>
      </c>
      <c r="G174" t="s">
        <v>719</v>
      </c>
      <c r="H174" s="2" t="s">
        <v>788</v>
      </c>
      <c r="I174" t="s">
        <v>743</v>
      </c>
      <c r="J174" t="s">
        <v>741</v>
      </c>
      <c r="K174" s="2">
        <v>581</v>
      </c>
      <c r="L174" t="s">
        <v>742</v>
      </c>
      <c r="M174" s="3" t="s">
        <v>19</v>
      </c>
      <c r="O174" s="3" t="s">
        <v>366</v>
      </c>
      <c r="P174" t="str">
        <f>IF(Tabelle1[[#This Row],[UN Sovereign States (bool)]]="x", Tabelle1[[#This Row],[ISO-alpha3 Code]], Tabelle1[[#This Row],[Occupier]])</f>
        <v>USA</v>
      </c>
      <c r="Q174" t="str">
        <f>VLOOKUP(Tabelle1[[#This Row],[Assist]],Tabelle1[[ISO-alpha3 Code]:[Country/Area]],2,FALSE)</f>
        <v>United States of America</v>
      </c>
      <c r="R174" t="str">
        <f>Tabelle1[[#This Row],[Country/Area]]</f>
        <v>United States Minor Outlying Islands</v>
      </c>
    </row>
    <row r="175" spans="1:18" x14ac:dyDescent="0.35">
      <c r="A175" s="2">
        <v>9</v>
      </c>
      <c r="B175" t="s">
        <v>683</v>
      </c>
      <c r="C175" t="s">
        <v>683</v>
      </c>
      <c r="D175" s="2">
        <v>57</v>
      </c>
      <c r="E175" t="s">
        <v>719</v>
      </c>
      <c r="F175" s="2">
        <v>57</v>
      </c>
      <c r="G175" t="s">
        <v>719</v>
      </c>
      <c r="H175" s="2" t="s">
        <v>788</v>
      </c>
      <c r="I175" t="s">
        <v>731</v>
      </c>
      <c r="J175" t="s">
        <v>729</v>
      </c>
      <c r="K175" s="2">
        <v>583</v>
      </c>
      <c r="L175" t="s">
        <v>730</v>
      </c>
      <c r="M175" s="3" t="s">
        <v>19</v>
      </c>
      <c r="N175" s="3" t="s">
        <v>19</v>
      </c>
      <c r="P175" t="str">
        <f>IF(Tabelle1[[#This Row],[UN Sovereign States (bool)]]="x", Tabelle1[[#This Row],[ISO-alpha3 Code]], Tabelle1[[#This Row],[Occupier]])</f>
        <v>FSM</v>
      </c>
      <c r="Q175" t="str">
        <f>VLOOKUP(Tabelle1[[#This Row],[Assist]],Tabelle1[[ISO-alpha3 Code]:[Country/Area]],2,FALSE)</f>
        <v>Micronesia (Federated States of)</v>
      </c>
      <c r="R175" s="3" t="s">
        <v>827</v>
      </c>
    </row>
    <row r="176" spans="1:18" x14ac:dyDescent="0.35">
      <c r="A176" s="2">
        <v>9</v>
      </c>
      <c r="B176" t="s">
        <v>683</v>
      </c>
      <c r="C176" t="s">
        <v>683</v>
      </c>
      <c r="D176" s="2">
        <v>57</v>
      </c>
      <c r="E176" t="s">
        <v>719</v>
      </c>
      <c r="F176" s="2">
        <v>57</v>
      </c>
      <c r="G176" t="s">
        <v>719</v>
      </c>
      <c r="H176" s="2" t="s">
        <v>788</v>
      </c>
      <c r="I176" t="s">
        <v>728</v>
      </c>
      <c r="J176" t="s">
        <v>726</v>
      </c>
      <c r="K176" s="2">
        <v>584</v>
      </c>
      <c r="L176" t="s">
        <v>727</v>
      </c>
      <c r="M176" s="3" t="s">
        <v>19</v>
      </c>
      <c r="N176" s="3" t="s">
        <v>19</v>
      </c>
      <c r="P176" t="str">
        <f>IF(Tabelle1[[#This Row],[UN Sovereign States (bool)]]="x", Tabelle1[[#This Row],[ISO-alpha3 Code]], Tabelle1[[#This Row],[Occupier]])</f>
        <v>MHL</v>
      </c>
      <c r="Q176" t="str">
        <f>VLOOKUP(Tabelle1[[#This Row],[Assist]],Tabelle1[[ISO-alpha3 Code]:[Country/Area]],2,FALSE)</f>
        <v>Marshall Islands</v>
      </c>
      <c r="R176" t="str">
        <f>Tabelle1[[#This Row],[Country/Area]]</f>
        <v>Marshall Islands</v>
      </c>
    </row>
    <row r="177" spans="1:18" x14ac:dyDescent="0.35">
      <c r="A177" s="2">
        <v>9</v>
      </c>
      <c r="B177" t="s">
        <v>683</v>
      </c>
      <c r="C177" t="s">
        <v>683</v>
      </c>
      <c r="D177" s="2">
        <v>57</v>
      </c>
      <c r="E177" t="s">
        <v>719</v>
      </c>
      <c r="F177" s="2">
        <v>57</v>
      </c>
      <c r="G177" t="s">
        <v>719</v>
      </c>
      <c r="H177" s="2" t="s">
        <v>788</v>
      </c>
      <c r="I177" t="s">
        <v>740</v>
      </c>
      <c r="J177" t="s">
        <v>738</v>
      </c>
      <c r="K177" s="2">
        <v>585</v>
      </c>
      <c r="L177" t="s">
        <v>739</v>
      </c>
      <c r="M177" s="3" t="s">
        <v>19</v>
      </c>
      <c r="N177" s="3" t="s">
        <v>19</v>
      </c>
      <c r="P177" t="str">
        <f>IF(Tabelle1[[#This Row],[UN Sovereign States (bool)]]="x", Tabelle1[[#This Row],[ISO-alpha3 Code]], Tabelle1[[#This Row],[Occupier]])</f>
        <v>PLW</v>
      </c>
      <c r="Q177" t="str">
        <f>VLOOKUP(Tabelle1[[#This Row],[Assist]],Tabelle1[[ISO-alpha3 Code]:[Country/Area]],2,FALSE)</f>
        <v>Palau</v>
      </c>
      <c r="R177" t="str">
        <f>Tabelle1[[#This Row],[Country/Area]]</f>
        <v>Palau</v>
      </c>
    </row>
    <row r="178" spans="1:18" x14ac:dyDescent="0.35">
      <c r="A178" s="2">
        <v>142</v>
      </c>
      <c r="B178" t="s">
        <v>370</v>
      </c>
      <c r="C178" t="s">
        <v>370</v>
      </c>
      <c r="D178" s="2">
        <v>34</v>
      </c>
      <c r="E178" t="s">
        <v>443</v>
      </c>
      <c r="F178" s="2">
        <v>34</v>
      </c>
      <c r="G178" t="s">
        <v>443</v>
      </c>
      <c r="H178" s="2" t="s">
        <v>801</v>
      </c>
      <c r="I178" t="s">
        <v>467</v>
      </c>
      <c r="J178" t="s">
        <v>465</v>
      </c>
      <c r="K178" s="2">
        <v>586</v>
      </c>
      <c r="L178" t="s">
        <v>466</v>
      </c>
      <c r="M178" s="3" t="s">
        <v>19</v>
      </c>
      <c r="N178" s="3" t="s">
        <v>19</v>
      </c>
      <c r="P178" t="str">
        <f>IF(Tabelle1[[#This Row],[UN Sovereign States (bool)]]="x", Tabelle1[[#This Row],[ISO-alpha3 Code]], Tabelle1[[#This Row],[Occupier]])</f>
        <v>PAK</v>
      </c>
      <c r="Q178" t="str">
        <f>VLOOKUP(Tabelle1[[#This Row],[Assist]],Tabelle1[[ISO-alpha3 Code]:[Country/Area]],2,FALSE)</f>
        <v>Pakistan</v>
      </c>
      <c r="R178" t="str">
        <f>Tabelle1[[#This Row],[Country/Area]]</f>
        <v>Pakistan</v>
      </c>
    </row>
    <row r="179" spans="1:18" x14ac:dyDescent="0.35">
      <c r="A179" s="2">
        <v>19</v>
      </c>
      <c r="B179" t="s">
        <v>190</v>
      </c>
      <c r="C179" s="3" t="s">
        <v>302</v>
      </c>
      <c r="D179" s="2">
        <v>419</v>
      </c>
      <c r="E179" t="s">
        <v>191</v>
      </c>
      <c r="F179" s="2">
        <v>13</v>
      </c>
      <c r="G179" t="s">
        <v>277</v>
      </c>
      <c r="H179" s="2" t="s">
        <v>277</v>
      </c>
      <c r="I179" t="s">
        <v>301</v>
      </c>
      <c r="J179" t="s">
        <v>299</v>
      </c>
      <c r="K179" s="2">
        <v>591</v>
      </c>
      <c r="L179" t="s">
        <v>300</v>
      </c>
      <c r="M179" s="3" t="s">
        <v>19</v>
      </c>
      <c r="N179" s="3" t="s">
        <v>19</v>
      </c>
      <c r="P179" t="str">
        <f>IF(Tabelle1[[#This Row],[UN Sovereign States (bool)]]="x", Tabelle1[[#This Row],[ISO-alpha3 Code]], Tabelle1[[#This Row],[Occupier]])</f>
        <v>PAN</v>
      </c>
      <c r="Q179" t="str">
        <f>VLOOKUP(Tabelle1[[#This Row],[Assist]],Tabelle1[[ISO-alpha3 Code]:[Country/Area]],2,FALSE)</f>
        <v>Panama</v>
      </c>
      <c r="R179" t="str">
        <f>Tabelle1[[#This Row],[Country/Area]]</f>
        <v>Panama</v>
      </c>
    </row>
    <row r="180" spans="1:18" x14ac:dyDescent="0.35">
      <c r="A180" s="2">
        <v>9</v>
      </c>
      <c r="B180" t="s">
        <v>683</v>
      </c>
      <c r="C180" t="s">
        <v>683</v>
      </c>
      <c r="D180" s="2">
        <v>54</v>
      </c>
      <c r="E180" t="s">
        <v>703</v>
      </c>
      <c r="F180" s="2">
        <v>54</v>
      </c>
      <c r="G180" t="s">
        <v>703</v>
      </c>
      <c r="H180" s="2" t="s">
        <v>788</v>
      </c>
      <c r="I180" t="s">
        <v>712</v>
      </c>
      <c r="J180" t="s">
        <v>710</v>
      </c>
      <c r="K180" s="2">
        <v>598</v>
      </c>
      <c r="L180" t="s">
        <v>711</v>
      </c>
      <c r="M180" s="3" t="s">
        <v>19</v>
      </c>
      <c r="N180" s="3" t="s">
        <v>19</v>
      </c>
      <c r="P180" t="str">
        <f>IF(Tabelle1[[#This Row],[UN Sovereign States (bool)]]="x", Tabelle1[[#This Row],[ISO-alpha3 Code]], Tabelle1[[#This Row],[Occupier]])</f>
        <v>PNG</v>
      </c>
      <c r="Q180" t="str">
        <f>VLOOKUP(Tabelle1[[#This Row],[Assist]],Tabelle1[[ISO-alpha3 Code]:[Country/Area]],2,FALSE)</f>
        <v>Papua New Guinea</v>
      </c>
      <c r="R180" t="str">
        <f>Tabelle1[[#This Row],[Country/Area]]</f>
        <v>Papua New Guinea</v>
      </c>
    </row>
    <row r="181" spans="1:18" x14ac:dyDescent="0.35">
      <c r="A181" s="2">
        <v>19</v>
      </c>
      <c r="B181" t="s">
        <v>190</v>
      </c>
      <c r="C181" s="3" t="s">
        <v>302</v>
      </c>
      <c r="D181" s="2">
        <v>419</v>
      </c>
      <c r="E181" t="s">
        <v>191</v>
      </c>
      <c r="F181" s="2">
        <v>5</v>
      </c>
      <c r="G181" t="s">
        <v>302</v>
      </c>
      <c r="H181" s="2" t="s">
        <v>793</v>
      </c>
      <c r="I181" t="s">
        <v>335</v>
      </c>
      <c r="J181" t="s">
        <v>333</v>
      </c>
      <c r="K181" s="2">
        <v>600</v>
      </c>
      <c r="L181" t="s">
        <v>334</v>
      </c>
      <c r="M181" s="3" t="s">
        <v>19</v>
      </c>
      <c r="N181" s="3" t="s">
        <v>19</v>
      </c>
      <c r="P181" t="str">
        <f>IF(Tabelle1[[#This Row],[UN Sovereign States (bool)]]="x", Tabelle1[[#This Row],[ISO-alpha3 Code]], Tabelle1[[#This Row],[Occupier]])</f>
        <v>PRY</v>
      </c>
      <c r="Q181" t="str">
        <f>VLOOKUP(Tabelle1[[#This Row],[Assist]],Tabelle1[[ISO-alpha3 Code]:[Country/Area]],2,FALSE)</f>
        <v>Paraguay</v>
      </c>
      <c r="R181" t="str">
        <f>Tabelle1[[#This Row],[Country/Area]]</f>
        <v>Paraguay</v>
      </c>
    </row>
    <row r="182" spans="1:18" x14ac:dyDescent="0.35">
      <c r="A182" s="2">
        <v>19</v>
      </c>
      <c r="B182" t="s">
        <v>190</v>
      </c>
      <c r="C182" s="3" t="s">
        <v>302</v>
      </c>
      <c r="D182" s="2">
        <v>419</v>
      </c>
      <c r="E182" t="s">
        <v>191</v>
      </c>
      <c r="F182" s="2">
        <v>5</v>
      </c>
      <c r="G182" t="s">
        <v>302</v>
      </c>
      <c r="H182" s="2" t="s">
        <v>794</v>
      </c>
      <c r="I182" t="s">
        <v>338</v>
      </c>
      <c r="J182" t="s">
        <v>336</v>
      </c>
      <c r="K182" s="2">
        <v>604</v>
      </c>
      <c r="L182" t="s">
        <v>337</v>
      </c>
      <c r="M182" s="3" t="s">
        <v>19</v>
      </c>
      <c r="N182" s="3" t="s">
        <v>19</v>
      </c>
      <c r="P182" t="str">
        <f>IF(Tabelle1[[#This Row],[UN Sovereign States (bool)]]="x", Tabelle1[[#This Row],[ISO-alpha3 Code]], Tabelle1[[#This Row],[Occupier]])</f>
        <v>PER</v>
      </c>
      <c r="Q182" t="str">
        <f>VLOOKUP(Tabelle1[[#This Row],[Assist]],Tabelle1[[ISO-alpha3 Code]:[Country/Area]],2,FALSE)</f>
        <v>Peru</v>
      </c>
      <c r="R182" t="str">
        <f>Tabelle1[[#This Row],[Country/Area]]</f>
        <v>Peru</v>
      </c>
    </row>
    <row r="183" spans="1:18" x14ac:dyDescent="0.35">
      <c r="A183" s="2">
        <v>142</v>
      </c>
      <c r="B183" t="s">
        <v>370</v>
      </c>
      <c r="C183" t="s">
        <v>370</v>
      </c>
      <c r="D183" s="2">
        <v>35</v>
      </c>
      <c r="E183" t="s">
        <v>409</v>
      </c>
      <c r="F183" s="2">
        <v>35</v>
      </c>
      <c r="G183" t="s">
        <v>409</v>
      </c>
      <c r="H183" s="2" t="s">
        <v>800</v>
      </c>
      <c r="I183" t="s">
        <v>430</v>
      </c>
      <c r="J183" t="s">
        <v>428</v>
      </c>
      <c r="K183" s="2">
        <v>608</v>
      </c>
      <c r="L183" t="s">
        <v>429</v>
      </c>
      <c r="M183" s="3" t="s">
        <v>19</v>
      </c>
      <c r="N183" s="3" t="s">
        <v>19</v>
      </c>
      <c r="P183" t="str">
        <f>IF(Tabelle1[[#This Row],[UN Sovereign States (bool)]]="x", Tabelle1[[#This Row],[ISO-alpha3 Code]], Tabelle1[[#This Row],[Occupier]])</f>
        <v>PHL</v>
      </c>
      <c r="Q183" t="str">
        <f>VLOOKUP(Tabelle1[[#This Row],[Assist]],Tabelle1[[ISO-alpha3 Code]:[Country/Area]],2,FALSE)</f>
        <v>Philippines</v>
      </c>
      <c r="R183" t="str">
        <f>Tabelle1[[#This Row],[Country/Area]]</f>
        <v>Philippines</v>
      </c>
    </row>
    <row r="184" spans="1:18" x14ac:dyDescent="0.35">
      <c r="A184">
        <v>150</v>
      </c>
      <c r="B184" s="3" t="s">
        <v>525</v>
      </c>
      <c r="C184" s="3" t="s">
        <v>525</v>
      </c>
      <c r="D184">
        <v>39</v>
      </c>
      <c r="E184" t="s">
        <v>606</v>
      </c>
      <c r="F184">
        <v>39</v>
      </c>
      <c r="G184" s="3" t="s">
        <v>606</v>
      </c>
      <c r="H184" s="4" t="s">
        <v>810</v>
      </c>
      <c r="I184" s="3" t="s">
        <v>833</v>
      </c>
      <c r="J184" s="3" t="s">
        <v>804</v>
      </c>
      <c r="K184" s="2">
        <v>610</v>
      </c>
      <c r="M184" s="3"/>
      <c r="O184" t="s">
        <v>642</v>
      </c>
      <c r="P184" t="str">
        <f>IF(Tabelle1[[#This Row],[UN Sovereign States (bool)]]="x", Tabelle1[[#This Row],[ISO-alpha3 Code]], Tabelle1[[#This Row],[Occupier]])</f>
        <v>PRT</v>
      </c>
      <c r="Q184" t="str">
        <f>VLOOKUP(Tabelle1[[#This Row],[Assist]],Tabelle1[[ISO-alpha3 Code]:[Country/Area]],2,FALSE)</f>
        <v>Portugal</v>
      </c>
      <c r="R184" t="str">
        <f>Tabelle1[[#This Row],[Country/Area]]</f>
        <v>Azores Islands</v>
      </c>
    </row>
    <row r="185" spans="1:18" x14ac:dyDescent="0.35">
      <c r="A185" s="2">
        <v>9</v>
      </c>
      <c r="B185" t="s">
        <v>683</v>
      </c>
      <c r="C185" t="s">
        <v>683</v>
      </c>
      <c r="D185" s="2">
        <v>61</v>
      </c>
      <c r="E185" t="s">
        <v>744</v>
      </c>
      <c r="F185" s="2">
        <v>61</v>
      </c>
      <c r="G185" t="s">
        <v>744</v>
      </c>
      <c r="H185" s="2" t="s">
        <v>788</v>
      </c>
      <c r="I185" t="s">
        <v>759</v>
      </c>
      <c r="J185" t="s">
        <v>757</v>
      </c>
      <c r="K185" s="2">
        <v>612</v>
      </c>
      <c r="L185" t="s">
        <v>758</v>
      </c>
      <c r="M185" s="3" t="s">
        <v>19</v>
      </c>
      <c r="N185" s="3"/>
      <c r="O185" s="3" t="s">
        <v>605</v>
      </c>
      <c r="P185" t="str">
        <f>IF(Tabelle1[[#This Row],[UN Sovereign States (bool)]]="x", Tabelle1[[#This Row],[ISO-alpha3 Code]], Tabelle1[[#This Row],[Occupier]])</f>
        <v>GBR</v>
      </c>
      <c r="Q185" t="str">
        <f>VLOOKUP(Tabelle1[[#This Row],[Assist]],Tabelle1[[ISO-alpha3 Code]:[Country/Area]],2,FALSE)</f>
        <v>United Kingdom of Great Britain and Northern Ireland</v>
      </c>
      <c r="R185" t="str">
        <f>Tabelle1[[#This Row],[Country/Area]]</f>
        <v>Pitcairn</v>
      </c>
    </row>
    <row r="186" spans="1:18" x14ac:dyDescent="0.35">
      <c r="A186" s="2">
        <v>150</v>
      </c>
      <c r="B186" t="s">
        <v>525</v>
      </c>
      <c r="C186" t="s">
        <v>525</v>
      </c>
      <c r="D186" s="2">
        <v>151</v>
      </c>
      <c r="E186" t="s">
        <v>526</v>
      </c>
      <c r="F186" s="2">
        <v>151</v>
      </c>
      <c r="G186" t="s">
        <v>526</v>
      </c>
      <c r="H186" s="2" t="s">
        <v>789</v>
      </c>
      <c r="I186" t="s">
        <v>541</v>
      </c>
      <c r="J186" t="s">
        <v>539</v>
      </c>
      <c r="K186" s="2">
        <v>616</v>
      </c>
      <c r="L186" t="s">
        <v>540</v>
      </c>
      <c r="M186" s="3" t="s">
        <v>19</v>
      </c>
      <c r="N186" s="3" t="s">
        <v>19</v>
      </c>
      <c r="P186" t="str">
        <f>IF(Tabelle1[[#This Row],[UN Sovereign States (bool)]]="x", Tabelle1[[#This Row],[ISO-alpha3 Code]], Tabelle1[[#This Row],[Occupier]])</f>
        <v>POL</v>
      </c>
      <c r="Q186" t="str">
        <f>VLOOKUP(Tabelle1[[#This Row],[Assist]],Tabelle1[[ISO-alpha3 Code]:[Country/Area]],2,FALSE)</f>
        <v>Poland</v>
      </c>
      <c r="R186" t="str">
        <f>Tabelle1[[#This Row],[Country/Area]]</f>
        <v>Poland</v>
      </c>
    </row>
    <row r="187" spans="1:18" x14ac:dyDescent="0.35">
      <c r="A187" s="2">
        <v>150</v>
      </c>
      <c r="B187" t="s">
        <v>525</v>
      </c>
      <c r="C187" t="s">
        <v>525</v>
      </c>
      <c r="D187" s="2">
        <v>39</v>
      </c>
      <c r="E187" t="s">
        <v>606</v>
      </c>
      <c r="F187" s="2">
        <v>39</v>
      </c>
      <c r="G187" t="s">
        <v>606</v>
      </c>
      <c r="H187" s="4" t="s">
        <v>791</v>
      </c>
      <c r="I187" t="s">
        <v>642</v>
      </c>
      <c r="J187" t="s">
        <v>640</v>
      </c>
      <c r="K187" s="2">
        <v>620</v>
      </c>
      <c r="L187" t="s">
        <v>641</v>
      </c>
      <c r="M187" s="3" t="s">
        <v>19</v>
      </c>
      <c r="N187" s="3" t="s">
        <v>19</v>
      </c>
      <c r="P187" t="str">
        <f>IF(Tabelle1[[#This Row],[UN Sovereign States (bool)]]="x", Tabelle1[[#This Row],[ISO-alpha3 Code]], Tabelle1[[#This Row],[Occupier]])</f>
        <v>PRT</v>
      </c>
      <c r="Q187" t="str">
        <f>VLOOKUP(Tabelle1[[#This Row],[Assist]],Tabelle1[[ISO-alpha3 Code]:[Country/Area]],2,FALSE)</f>
        <v>Portugal</v>
      </c>
      <c r="R187" t="str">
        <f>Tabelle1[[#This Row],[Country/Area]]</f>
        <v>Portugal</v>
      </c>
    </row>
    <row r="188" spans="1:18" x14ac:dyDescent="0.35">
      <c r="A188" s="2">
        <v>2</v>
      </c>
      <c r="B188" t="s">
        <v>2</v>
      </c>
      <c r="C188" t="s">
        <v>2</v>
      </c>
      <c r="D188" s="2">
        <v>202</v>
      </c>
      <c r="E188" t="s">
        <v>26</v>
      </c>
      <c r="F188" s="2">
        <v>11</v>
      </c>
      <c r="G188" t="s">
        <v>138</v>
      </c>
      <c r="H188" s="2" t="s">
        <v>784</v>
      </c>
      <c r="I188" t="s">
        <v>162</v>
      </c>
      <c r="J188" t="s">
        <v>160</v>
      </c>
      <c r="K188" s="2">
        <v>624</v>
      </c>
      <c r="L188" t="s">
        <v>161</v>
      </c>
      <c r="M188" s="3" t="s">
        <v>19</v>
      </c>
      <c r="N188" s="3" t="s">
        <v>19</v>
      </c>
      <c r="P188" t="str">
        <f>IF(Tabelle1[[#This Row],[UN Sovereign States (bool)]]="x", Tabelle1[[#This Row],[ISO-alpha3 Code]], Tabelle1[[#This Row],[Occupier]])</f>
        <v>GNB</v>
      </c>
      <c r="Q188" t="str">
        <f>VLOOKUP(Tabelle1[[#This Row],[Assist]],Tabelle1[[ISO-alpha3 Code]:[Country/Area]],2,FALSE)</f>
        <v>Guinea-Bissau</v>
      </c>
      <c r="R188" t="str">
        <f>Tabelle1[[#This Row],[Country/Area]]</f>
        <v>Guinea-Bissau</v>
      </c>
    </row>
    <row r="189" spans="1:18" x14ac:dyDescent="0.35">
      <c r="A189" s="2">
        <v>142</v>
      </c>
      <c r="B189" t="s">
        <v>370</v>
      </c>
      <c r="C189" t="s">
        <v>370</v>
      </c>
      <c r="D189" s="2">
        <v>35</v>
      </c>
      <c r="E189" t="s">
        <v>409</v>
      </c>
      <c r="F189" s="2">
        <v>35</v>
      </c>
      <c r="G189" t="s">
        <v>409</v>
      </c>
      <c r="H189" s="2" t="s">
        <v>800</v>
      </c>
      <c r="I189" t="s">
        <v>439</v>
      </c>
      <c r="J189" t="s">
        <v>437</v>
      </c>
      <c r="K189" s="2">
        <v>626</v>
      </c>
      <c r="L189" t="s">
        <v>438</v>
      </c>
      <c r="M189" s="3" t="s">
        <v>19</v>
      </c>
      <c r="N189" s="3" t="s">
        <v>19</v>
      </c>
      <c r="P189" t="str">
        <f>IF(Tabelle1[[#This Row],[UN Sovereign States (bool)]]="x", Tabelle1[[#This Row],[ISO-alpha3 Code]], Tabelle1[[#This Row],[Occupier]])</f>
        <v>TLS</v>
      </c>
      <c r="Q189" t="str">
        <f>VLOOKUP(Tabelle1[[#This Row],[Assist]],Tabelle1[[ISO-alpha3 Code]:[Country/Area]],2,FALSE)</f>
        <v>Timor-Leste</v>
      </c>
      <c r="R189" t="str">
        <f>Tabelle1[[#This Row],[Country/Area]]</f>
        <v>Timor-Leste</v>
      </c>
    </row>
    <row r="190" spans="1:18" x14ac:dyDescent="0.35">
      <c r="A190" s="2">
        <v>19</v>
      </c>
      <c r="B190" t="s">
        <v>190</v>
      </c>
      <c r="C190" s="3" t="s">
        <v>778</v>
      </c>
      <c r="D190" s="2">
        <v>419</v>
      </c>
      <c r="E190" t="s">
        <v>191</v>
      </c>
      <c r="F190" s="2">
        <v>29</v>
      </c>
      <c r="G190" t="s">
        <v>192</v>
      </c>
      <c r="H190" t="s">
        <v>192</v>
      </c>
      <c r="I190" t="s">
        <v>249</v>
      </c>
      <c r="J190" t="s">
        <v>247</v>
      </c>
      <c r="K190" s="2">
        <v>630</v>
      </c>
      <c r="L190" t="s">
        <v>248</v>
      </c>
      <c r="M190" s="3" t="s">
        <v>19</v>
      </c>
      <c r="N190" s="3"/>
      <c r="O190" s="3" t="s">
        <v>366</v>
      </c>
      <c r="P190" t="str">
        <f>IF(Tabelle1[[#This Row],[UN Sovereign States (bool)]]="x", Tabelle1[[#This Row],[ISO-alpha3 Code]], Tabelle1[[#This Row],[Occupier]])</f>
        <v>USA</v>
      </c>
      <c r="Q190" t="str">
        <f>VLOOKUP(Tabelle1[[#This Row],[Assist]],Tabelle1[[ISO-alpha3 Code]:[Country/Area]],2,FALSE)</f>
        <v>United States of America</v>
      </c>
      <c r="R190" t="str">
        <f>Tabelle1[[#This Row],[Country/Area]]</f>
        <v>Puerto Rico</v>
      </c>
    </row>
    <row r="191" spans="1:18" x14ac:dyDescent="0.35">
      <c r="A191" s="2">
        <v>142</v>
      </c>
      <c r="B191" t="s">
        <v>370</v>
      </c>
      <c r="C191" t="s">
        <v>370</v>
      </c>
      <c r="D191" s="2">
        <v>145</v>
      </c>
      <c r="E191" t="s">
        <v>471</v>
      </c>
      <c r="F191" s="2">
        <v>145</v>
      </c>
      <c r="G191" t="s">
        <v>471</v>
      </c>
      <c r="H191" s="2" t="s">
        <v>799</v>
      </c>
      <c r="I191" t="s">
        <v>507</v>
      </c>
      <c r="J191" t="s">
        <v>505</v>
      </c>
      <c r="K191" s="2">
        <v>634</v>
      </c>
      <c r="L191" t="s">
        <v>506</v>
      </c>
      <c r="M191" s="3" t="s">
        <v>19</v>
      </c>
      <c r="N191" s="3" t="s">
        <v>19</v>
      </c>
      <c r="P191" t="str">
        <f>IF(Tabelle1[[#This Row],[UN Sovereign States (bool)]]="x", Tabelle1[[#This Row],[ISO-alpha3 Code]], Tabelle1[[#This Row],[Occupier]])</f>
        <v>QAT</v>
      </c>
      <c r="Q191" t="str">
        <f>VLOOKUP(Tabelle1[[#This Row],[Assist]],Tabelle1[[ISO-alpha3 Code]:[Country/Area]],2,FALSE)</f>
        <v>Qatar</v>
      </c>
      <c r="R191" t="str">
        <f>Tabelle1[[#This Row],[Country/Area]]</f>
        <v>Qatar</v>
      </c>
    </row>
    <row r="192" spans="1:18" x14ac:dyDescent="0.35">
      <c r="A192" s="2">
        <v>2</v>
      </c>
      <c r="B192" t="s">
        <v>2</v>
      </c>
      <c r="C192" t="s">
        <v>2</v>
      </c>
      <c r="D192" s="2">
        <v>202</v>
      </c>
      <c r="E192" t="s">
        <v>26</v>
      </c>
      <c r="F192" s="2">
        <v>14</v>
      </c>
      <c r="G192" t="s">
        <v>27</v>
      </c>
      <c r="H192" s="2" t="s">
        <v>780</v>
      </c>
      <c r="I192" t="s">
        <v>69</v>
      </c>
      <c r="J192" t="s">
        <v>67</v>
      </c>
      <c r="K192" s="2">
        <v>638</v>
      </c>
      <c r="L192" t="s">
        <v>68</v>
      </c>
      <c r="M192" s="3" t="s">
        <v>19</v>
      </c>
      <c r="N192" s="3"/>
      <c r="O192" s="3" t="s">
        <v>664</v>
      </c>
      <c r="P192" t="str">
        <f>IF(Tabelle1[[#This Row],[UN Sovereign States (bool)]]="x", Tabelle1[[#This Row],[ISO-alpha3 Code]], Tabelle1[[#This Row],[Occupier]])</f>
        <v>FRA</v>
      </c>
      <c r="Q192" t="str">
        <f>VLOOKUP(Tabelle1[[#This Row],[Assist]],Tabelle1[[ISO-alpha3 Code]:[Country/Area]],2,FALSE)</f>
        <v>France</v>
      </c>
      <c r="R192" t="str">
        <f>Tabelle1[[#This Row],[Country/Area]]</f>
        <v>Réunion</v>
      </c>
    </row>
    <row r="193" spans="1:18" x14ac:dyDescent="0.35">
      <c r="A193" s="2">
        <v>150</v>
      </c>
      <c r="B193" t="s">
        <v>525</v>
      </c>
      <c r="C193" t="s">
        <v>525</v>
      </c>
      <c r="D193" s="2">
        <v>151</v>
      </c>
      <c r="E193" t="s">
        <v>526</v>
      </c>
      <c r="F193" s="2">
        <v>151</v>
      </c>
      <c r="G193" t="s">
        <v>526</v>
      </c>
      <c r="H193" s="2" t="s">
        <v>789</v>
      </c>
      <c r="I193" t="s">
        <v>547</v>
      </c>
      <c r="J193" t="s">
        <v>545</v>
      </c>
      <c r="K193" s="2">
        <v>642</v>
      </c>
      <c r="L193" t="s">
        <v>546</v>
      </c>
      <c r="M193" s="3" t="s">
        <v>19</v>
      </c>
      <c r="N193" s="3" t="s">
        <v>19</v>
      </c>
      <c r="P193" t="str">
        <f>IF(Tabelle1[[#This Row],[UN Sovereign States (bool)]]="x", Tabelle1[[#This Row],[ISO-alpha3 Code]], Tabelle1[[#This Row],[Occupier]])</f>
        <v>ROU</v>
      </c>
      <c r="Q193" t="str">
        <f>VLOOKUP(Tabelle1[[#This Row],[Assist]],Tabelle1[[ISO-alpha3 Code]:[Country/Area]],2,FALSE)</f>
        <v>Romania</v>
      </c>
      <c r="R193" t="str">
        <f>Tabelle1[[#This Row],[Country/Area]]</f>
        <v>Romania</v>
      </c>
    </row>
    <row r="194" spans="1:18" x14ac:dyDescent="0.35">
      <c r="A194" s="2">
        <v>150</v>
      </c>
      <c r="B194" t="s">
        <v>525</v>
      </c>
      <c r="C194" t="s">
        <v>525</v>
      </c>
      <c r="D194" s="2">
        <v>151</v>
      </c>
      <c r="E194" t="s">
        <v>526</v>
      </c>
      <c r="F194" s="2">
        <v>151</v>
      </c>
      <c r="G194" t="s">
        <v>526</v>
      </c>
      <c r="H194" s="2" t="s">
        <v>789</v>
      </c>
      <c r="I194" t="s">
        <v>550</v>
      </c>
      <c r="J194" t="s">
        <v>548</v>
      </c>
      <c r="K194" s="2">
        <v>643</v>
      </c>
      <c r="L194" t="s">
        <v>549</v>
      </c>
      <c r="M194" s="3" t="s">
        <v>19</v>
      </c>
      <c r="N194" s="3" t="s">
        <v>19</v>
      </c>
      <c r="P194" t="str">
        <f>IF(Tabelle1[[#This Row],[UN Sovereign States (bool)]]="x", Tabelle1[[#This Row],[ISO-alpha3 Code]], Tabelle1[[#This Row],[Occupier]])</f>
        <v>RUS</v>
      </c>
      <c r="Q194" t="str">
        <f>VLOOKUP(Tabelle1[[#This Row],[Assist]],Tabelle1[[ISO-alpha3 Code]:[Country/Area]],2,FALSE)</f>
        <v>Russian Federation</v>
      </c>
      <c r="R194" t="str">
        <f>Tabelle1[[#This Row],[Country/Area]]</f>
        <v>Russian Federation</v>
      </c>
    </row>
    <row r="195" spans="1:18" x14ac:dyDescent="0.35">
      <c r="A195" s="2">
        <v>2</v>
      </c>
      <c r="B195" t="s">
        <v>2</v>
      </c>
      <c r="C195" t="s">
        <v>2</v>
      </c>
      <c r="D195" s="2">
        <v>202</v>
      </c>
      <c r="E195" t="s">
        <v>26</v>
      </c>
      <c r="F195" s="2">
        <v>14</v>
      </c>
      <c r="G195" t="s">
        <v>27</v>
      </c>
      <c r="H195" s="2" t="s">
        <v>779</v>
      </c>
      <c r="I195" t="s">
        <v>72</v>
      </c>
      <c r="J195" t="s">
        <v>70</v>
      </c>
      <c r="K195" s="2">
        <v>646</v>
      </c>
      <c r="L195" t="s">
        <v>71</v>
      </c>
      <c r="M195" s="3" t="s">
        <v>19</v>
      </c>
      <c r="N195" s="3" t="s">
        <v>19</v>
      </c>
      <c r="P195" t="str">
        <f>IF(Tabelle1[[#This Row],[UN Sovereign States (bool)]]="x", Tabelle1[[#This Row],[ISO-alpha3 Code]], Tabelle1[[#This Row],[Occupier]])</f>
        <v>RWA</v>
      </c>
      <c r="Q195" t="str">
        <f>VLOOKUP(Tabelle1[[#This Row],[Assist]],Tabelle1[[ISO-alpha3 Code]:[Country/Area]],2,FALSE)</f>
        <v>Rwanda</v>
      </c>
      <c r="R195" t="str">
        <f>Tabelle1[[#This Row],[Country/Area]]</f>
        <v>Rwanda</v>
      </c>
    </row>
    <row r="196" spans="1:18" x14ac:dyDescent="0.35">
      <c r="A196" s="2">
        <v>19</v>
      </c>
      <c r="B196" t="s">
        <v>190</v>
      </c>
      <c r="C196" s="3" t="s">
        <v>778</v>
      </c>
      <c r="D196" s="2">
        <v>419</v>
      </c>
      <c r="E196" t="s">
        <v>191</v>
      </c>
      <c r="F196" s="2">
        <v>29</v>
      </c>
      <c r="G196" t="s">
        <v>192</v>
      </c>
      <c r="H196" t="s">
        <v>192</v>
      </c>
      <c r="I196" t="s">
        <v>252</v>
      </c>
      <c r="J196" t="s">
        <v>250</v>
      </c>
      <c r="K196" s="2">
        <v>652</v>
      </c>
      <c r="L196" t="s">
        <v>251</v>
      </c>
      <c r="M196" s="3" t="s">
        <v>19</v>
      </c>
      <c r="N196" s="3"/>
      <c r="O196" s="3" t="s">
        <v>664</v>
      </c>
      <c r="P196" t="str">
        <f>IF(Tabelle1[[#This Row],[UN Sovereign States (bool)]]="x", Tabelle1[[#This Row],[ISO-alpha3 Code]], Tabelle1[[#This Row],[Occupier]])</f>
        <v>FRA</v>
      </c>
      <c r="Q196" t="str">
        <f>VLOOKUP(Tabelle1[[#This Row],[Assist]],Tabelle1[[ISO-alpha3 Code]:[Country/Area]],2,FALSE)</f>
        <v>France</v>
      </c>
      <c r="R196" t="str">
        <f>Tabelle1[[#This Row],[Country/Area]]</f>
        <v>Saint Barthélemy</v>
      </c>
    </row>
    <row r="197" spans="1:18" x14ac:dyDescent="0.35">
      <c r="A197" s="2">
        <v>2</v>
      </c>
      <c r="B197" t="s">
        <v>2</v>
      </c>
      <c r="C197" t="s">
        <v>2</v>
      </c>
      <c r="D197" s="2">
        <v>202</v>
      </c>
      <c r="E197" t="s">
        <v>26</v>
      </c>
      <c r="F197" s="2">
        <v>11</v>
      </c>
      <c r="G197" t="s">
        <v>138</v>
      </c>
      <c r="H197" s="2" t="s">
        <v>784</v>
      </c>
      <c r="I197" t="s">
        <v>180</v>
      </c>
      <c r="J197" t="s">
        <v>178</v>
      </c>
      <c r="K197" s="2">
        <v>654</v>
      </c>
      <c r="L197" t="s">
        <v>179</v>
      </c>
      <c r="M197" s="3" t="s">
        <v>19</v>
      </c>
      <c r="N197" s="3"/>
      <c r="O197" s="3" t="s">
        <v>605</v>
      </c>
      <c r="P197" t="str">
        <f>IF(Tabelle1[[#This Row],[UN Sovereign States (bool)]]="x", Tabelle1[[#This Row],[ISO-alpha3 Code]], Tabelle1[[#This Row],[Occupier]])</f>
        <v>GBR</v>
      </c>
      <c r="Q197" t="str">
        <f>VLOOKUP(Tabelle1[[#This Row],[Assist]],Tabelle1[[ISO-alpha3 Code]:[Country/Area]],2,FALSE)</f>
        <v>United Kingdom of Great Britain and Northern Ireland</v>
      </c>
      <c r="R197" t="str">
        <f>Tabelle1[[#This Row],[Country/Area]]</f>
        <v>Saint Helena</v>
      </c>
    </row>
    <row r="198" spans="1:18" x14ac:dyDescent="0.35">
      <c r="A198" s="2">
        <v>19</v>
      </c>
      <c r="B198" t="s">
        <v>190</v>
      </c>
      <c r="C198" s="3" t="s">
        <v>778</v>
      </c>
      <c r="D198" s="2">
        <v>419</v>
      </c>
      <c r="E198" t="s">
        <v>191</v>
      </c>
      <c r="F198" s="2">
        <v>29</v>
      </c>
      <c r="G198" t="s">
        <v>192</v>
      </c>
      <c r="H198" t="s">
        <v>192</v>
      </c>
      <c r="I198" t="s">
        <v>255</v>
      </c>
      <c r="J198" t="s">
        <v>253</v>
      </c>
      <c r="K198" s="2">
        <v>659</v>
      </c>
      <c r="L198" t="s">
        <v>254</v>
      </c>
      <c r="M198" s="3" t="s">
        <v>19</v>
      </c>
      <c r="N198" s="3" t="s">
        <v>19</v>
      </c>
      <c r="P198" t="str">
        <f>IF(Tabelle1[[#This Row],[UN Sovereign States (bool)]]="x", Tabelle1[[#This Row],[ISO-alpha3 Code]], Tabelle1[[#This Row],[Occupier]])</f>
        <v>KNA</v>
      </c>
      <c r="Q198" t="str">
        <f>VLOOKUP(Tabelle1[[#This Row],[Assist]],Tabelle1[[ISO-alpha3 Code]:[Country/Area]],2,FALSE)</f>
        <v>Saint Kitts and Nevis</v>
      </c>
      <c r="R198" t="str">
        <f>Tabelle1[[#This Row],[Country/Area]]</f>
        <v>Saint Kitts and Nevis</v>
      </c>
    </row>
    <row r="199" spans="1:18" x14ac:dyDescent="0.35">
      <c r="A199" s="2">
        <v>19</v>
      </c>
      <c r="B199" t="s">
        <v>190</v>
      </c>
      <c r="C199" s="3" t="s">
        <v>778</v>
      </c>
      <c r="D199" s="2">
        <v>419</v>
      </c>
      <c r="E199" t="s">
        <v>191</v>
      </c>
      <c r="F199" s="2">
        <v>29</v>
      </c>
      <c r="G199" t="s">
        <v>192</v>
      </c>
      <c r="H199" t="s">
        <v>192</v>
      </c>
      <c r="I199" t="s">
        <v>195</v>
      </c>
      <c r="J199" t="s">
        <v>193</v>
      </c>
      <c r="K199" s="2">
        <v>660</v>
      </c>
      <c r="L199" t="s">
        <v>194</v>
      </c>
      <c r="M199" s="3" t="s">
        <v>19</v>
      </c>
      <c r="N199" s="3"/>
      <c r="O199" s="3" t="s">
        <v>605</v>
      </c>
      <c r="P199" t="str">
        <f>IF(Tabelle1[[#This Row],[UN Sovereign States (bool)]]="x", Tabelle1[[#This Row],[ISO-alpha3 Code]], Tabelle1[[#This Row],[Occupier]])</f>
        <v>GBR</v>
      </c>
      <c r="Q199" t="str">
        <f>VLOOKUP(Tabelle1[[#This Row],[Assist]],Tabelle1[[ISO-alpha3 Code]:[Country/Area]],2,FALSE)</f>
        <v>United Kingdom of Great Britain and Northern Ireland</v>
      </c>
      <c r="R199" t="str">
        <f>Tabelle1[[#This Row],[Country/Area]]</f>
        <v>Anguilla</v>
      </c>
    </row>
    <row r="200" spans="1:18" x14ac:dyDescent="0.35">
      <c r="A200" s="2">
        <v>19</v>
      </c>
      <c r="B200" t="s">
        <v>190</v>
      </c>
      <c r="C200" s="3" t="s">
        <v>778</v>
      </c>
      <c r="D200" s="2">
        <v>419</v>
      </c>
      <c r="E200" t="s">
        <v>191</v>
      </c>
      <c r="F200" s="2">
        <v>29</v>
      </c>
      <c r="G200" t="s">
        <v>192</v>
      </c>
      <c r="H200" t="s">
        <v>192</v>
      </c>
      <c r="I200" t="s">
        <v>258</v>
      </c>
      <c r="J200" t="s">
        <v>256</v>
      </c>
      <c r="K200" s="2">
        <v>662</v>
      </c>
      <c r="L200" t="s">
        <v>257</v>
      </c>
      <c r="M200" s="3" t="s">
        <v>19</v>
      </c>
      <c r="N200" s="3" t="s">
        <v>19</v>
      </c>
      <c r="P200" t="str">
        <f>IF(Tabelle1[[#This Row],[UN Sovereign States (bool)]]="x", Tabelle1[[#This Row],[ISO-alpha3 Code]], Tabelle1[[#This Row],[Occupier]])</f>
        <v>LCA</v>
      </c>
      <c r="Q200" t="str">
        <f>VLOOKUP(Tabelle1[[#This Row],[Assist]],Tabelle1[[ISO-alpha3 Code]:[Country/Area]],2,FALSE)</f>
        <v>Saint Lucia</v>
      </c>
      <c r="R200" t="str">
        <f>Tabelle1[[#This Row],[Country/Area]]</f>
        <v>Saint Lucia</v>
      </c>
    </row>
    <row r="201" spans="1:18" x14ac:dyDescent="0.35">
      <c r="A201" s="2">
        <v>19</v>
      </c>
      <c r="B201" t="s">
        <v>190</v>
      </c>
      <c r="C201" s="3" t="s">
        <v>778</v>
      </c>
      <c r="D201" s="2">
        <v>419</v>
      </c>
      <c r="E201" t="s">
        <v>191</v>
      </c>
      <c r="F201" s="2">
        <v>29</v>
      </c>
      <c r="G201" t="s">
        <v>192</v>
      </c>
      <c r="H201" t="s">
        <v>192</v>
      </c>
      <c r="I201" t="s">
        <v>261</v>
      </c>
      <c r="J201" t="s">
        <v>259</v>
      </c>
      <c r="K201" s="2">
        <v>663</v>
      </c>
      <c r="L201" t="s">
        <v>260</v>
      </c>
      <c r="M201" s="3" t="s">
        <v>19</v>
      </c>
      <c r="N201" s="3"/>
      <c r="O201" s="3" t="s">
        <v>664</v>
      </c>
      <c r="P201" t="str">
        <f>IF(Tabelle1[[#This Row],[UN Sovereign States (bool)]]="x", Tabelle1[[#This Row],[ISO-alpha3 Code]], Tabelle1[[#This Row],[Occupier]])</f>
        <v>FRA</v>
      </c>
      <c r="Q201" t="str">
        <f>VLOOKUP(Tabelle1[[#This Row],[Assist]],Tabelle1[[ISO-alpha3 Code]:[Country/Area]],2,FALSE)</f>
        <v>France</v>
      </c>
      <c r="R201" s="3" t="s">
        <v>829</v>
      </c>
    </row>
    <row r="202" spans="1:18" x14ac:dyDescent="0.35">
      <c r="A202" s="2">
        <v>19</v>
      </c>
      <c r="B202" t="s">
        <v>190</v>
      </c>
      <c r="C202" s="3" t="s">
        <v>778</v>
      </c>
      <c r="D202" s="2">
        <v>21</v>
      </c>
      <c r="E202" t="s">
        <v>351</v>
      </c>
      <c r="F202" s="2">
        <v>21</v>
      </c>
      <c r="G202" t="s">
        <v>351</v>
      </c>
      <c r="H202" s="2" t="s">
        <v>778</v>
      </c>
      <c r="I202" t="s">
        <v>363</v>
      </c>
      <c r="J202" t="s">
        <v>361</v>
      </c>
      <c r="K202" s="2">
        <v>666</v>
      </c>
      <c r="L202" t="s">
        <v>362</v>
      </c>
      <c r="M202" s="3" t="s">
        <v>19</v>
      </c>
      <c r="O202" s="3" t="s">
        <v>664</v>
      </c>
      <c r="P202" t="str">
        <f>IF(Tabelle1[[#This Row],[UN Sovereign States (bool)]]="x", Tabelle1[[#This Row],[ISO-alpha3 Code]], Tabelle1[[#This Row],[Occupier]])</f>
        <v>FRA</v>
      </c>
      <c r="Q202" t="str">
        <f>VLOOKUP(Tabelle1[[#This Row],[Assist]],Tabelle1[[ISO-alpha3 Code]:[Country/Area]],2,FALSE)</f>
        <v>France</v>
      </c>
      <c r="R202" t="str">
        <f>Tabelle1[[#This Row],[Country/Area]]</f>
        <v>Saint Pierre and Miquelon</v>
      </c>
    </row>
    <row r="203" spans="1:18" x14ac:dyDescent="0.35">
      <c r="A203" s="2">
        <v>19</v>
      </c>
      <c r="B203" t="s">
        <v>190</v>
      </c>
      <c r="C203" s="3" t="s">
        <v>778</v>
      </c>
      <c r="D203" s="2">
        <v>419</v>
      </c>
      <c r="E203" t="s">
        <v>191</v>
      </c>
      <c r="F203" s="2">
        <v>29</v>
      </c>
      <c r="G203" t="s">
        <v>192</v>
      </c>
      <c r="H203" t="s">
        <v>192</v>
      </c>
      <c r="I203" t="s">
        <v>264</v>
      </c>
      <c r="J203" t="s">
        <v>262</v>
      </c>
      <c r="K203" s="2">
        <v>670</v>
      </c>
      <c r="L203" t="s">
        <v>263</v>
      </c>
      <c r="M203" s="3" t="s">
        <v>19</v>
      </c>
      <c r="N203" s="3" t="s">
        <v>19</v>
      </c>
      <c r="P203" t="str">
        <f>IF(Tabelle1[[#This Row],[UN Sovereign States (bool)]]="x", Tabelle1[[#This Row],[ISO-alpha3 Code]], Tabelle1[[#This Row],[Occupier]])</f>
        <v>VCT</v>
      </c>
      <c r="Q203" t="str">
        <f>VLOOKUP(Tabelle1[[#This Row],[Assist]],Tabelle1[[ISO-alpha3 Code]:[Country/Area]],2,FALSE)</f>
        <v>Saint Vincent and the Grenadines</v>
      </c>
      <c r="R203" t="str">
        <f>Tabelle1[[#This Row],[Country/Area]]</f>
        <v>Saint Vincent and the Grenadines</v>
      </c>
    </row>
    <row r="204" spans="1:18" x14ac:dyDescent="0.35">
      <c r="A204" s="2">
        <v>150</v>
      </c>
      <c r="B204" t="s">
        <v>525</v>
      </c>
      <c r="C204" t="s">
        <v>525</v>
      </c>
      <c r="D204" s="2">
        <v>39</v>
      </c>
      <c r="E204" t="s">
        <v>606</v>
      </c>
      <c r="F204" s="2">
        <v>39</v>
      </c>
      <c r="G204" t="s">
        <v>606</v>
      </c>
      <c r="H204" s="4" t="s">
        <v>791</v>
      </c>
      <c r="I204" t="s">
        <v>645</v>
      </c>
      <c r="J204" t="s">
        <v>643</v>
      </c>
      <c r="K204" s="2">
        <v>674</v>
      </c>
      <c r="L204" t="s">
        <v>644</v>
      </c>
      <c r="M204" s="3" t="s">
        <v>19</v>
      </c>
      <c r="N204" s="3" t="s">
        <v>19</v>
      </c>
      <c r="P204" t="str">
        <f>IF(Tabelle1[[#This Row],[UN Sovereign States (bool)]]="x", Tabelle1[[#This Row],[ISO-alpha3 Code]], Tabelle1[[#This Row],[Occupier]])</f>
        <v>SMR</v>
      </c>
      <c r="Q204" t="str">
        <f>VLOOKUP(Tabelle1[[#This Row],[Assist]],Tabelle1[[ISO-alpha3 Code]:[Country/Area]],2,FALSE)</f>
        <v>San Marino</v>
      </c>
      <c r="R204" t="str">
        <f>Tabelle1[[#This Row],[Country/Area]]</f>
        <v>San Marino</v>
      </c>
    </row>
    <row r="205" spans="1:18" x14ac:dyDescent="0.35">
      <c r="A205" s="2">
        <v>2</v>
      </c>
      <c r="B205" t="s">
        <v>2</v>
      </c>
      <c r="C205" t="s">
        <v>2</v>
      </c>
      <c r="D205" s="2">
        <v>202</v>
      </c>
      <c r="E205" t="s">
        <v>26</v>
      </c>
      <c r="F205" s="2">
        <v>17</v>
      </c>
      <c r="G205" t="s">
        <v>94</v>
      </c>
      <c r="H205" s="2" t="s">
        <v>784</v>
      </c>
      <c r="I205" t="s">
        <v>121</v>
      </c>
      <c r="J205" t="s">
        <v>119</v>
      </c>
      <c r="K205" s="2">
        <v>678</v>
      </c>
      <c r="L205" t="s">
        <v>120</v>
      </c>
      <c r="M205" s="3" t="s">
        <v>19</v>
      </c>
      <c r="N205" s="3" t="s">
        <v>19</v>
      </c>
      <c r="P205" t="str">
        <f>IF(Tabelle1[[#This Row],[UN Sovereign States (bool)]]="x", Tabelle1[[#This Row],[ISO-alpha3 Code]], Tabelle1[[#This Row],[Occupier]])</f>
        <v>STP</v>
      </c>
      <c r="Q205" t="str">
        <f>VLOOKUP(Tabelle1[[#This Row],[Assist]],Tabelle1[[ISO-alpha3 Code]:[Country/Area]],2,FALSE)</f>
        <v>Sao Tome and Principe</v>
      </c>
      <c r="R205" t="str">
        <f>Tabelle1[[#This Row],[Country/Area]]</f>
        <v>Sao Tome and Principe</v>
      </c>
    </row>
    <row r="206" spans="1:18" x14ac:dyDescent="0.35">
      <c r="A206" s="2">
        <v>142</v>
      </c>
      <c r="B206" t="s">
        <v>370</v>
      </c>
      <c r="C206" t="s">
        <v>370</v>
      </c>
      <c r="D206" s="2">
        <v>145</v>
      </c>
      <c r="E206" t="s">
        <v>471</v>
      </c>
      <c r="F206" s="2">
        <v>145</v>
      </c>
      <c r="G206" t="s">
        <v>471</v>
      </c>
      <c r="H206" s="2" t="s">
        <v>799</v>
      </c>
      <c r="I206" t="s">
        <v>510</v>
      </c>
      <c r="J206" t="s">
        <v>508</v>
      </c>
      <c r="K206" s="2">
        <v>682</v>
      </c>
      <c r="L206" t="s">
        <v>509</v>
      </c>
      <c r="M206" s="3" t="s">
        <v>19</v>
      </c>
      <c r="N206" s="3" t="s">
        <v>19</v>
      </c>
      <c r="P206" t="str">
        <f>IF(Tabelle1[[#This Row],[UN Sovereign States (bool)]]="x", Tabelle1[[#This Row],[ISO-alpha3 Code]], Tabelle1[[#This Row],[Occupier]])</f>
        <v>SAU</v>
      </c>
      <c r="Q206" t="str">
        <f>VLOOKUP(Tabelle1[[#This Row],[Assist]],Tabelle1[[ISO-alpha3 Code]:[Country/Area]],2,FALSE)</f>
        <v>Saudi Arabia</v>
      </c>
      <c r="R206" t="str">
        <f>Tabelle1[[#This Row],[Country/Area]]</f>
        <v>Saudi Arabia</v>
      </c>
    </row>
    <row r="207" spans="1:18" x14ac:dyDescent="0.35">
      <c r="A207" s="2">
        <v>2</v>
      </c>
      <c r="B207" t="s">
        <v>2</v>
      </c>
      <c r="C207" t="s">
        <v>2</v>
      </c>
      <c r="D207" s="2">
        <v>202</v>
      </c>
      <c r="E207" t="s">
        <v>26</v>
      </c>
      <c r="F207" s="2">
        <v>11</v>
      </c>
      <c r="G207" t="s">
        <v>138</v>
      </c>
      <c r="H207" s="2" t="s">
        <v>784</v>
      </c>
      <c r="I207" t="s">
        <v>183</v>
      </c>
      <c r="J207" t="s">
        <v>181</v>
      </c>
      <c r="K207" s="2">
        <v>686</v>
      </c>
      <c r="L207" t="s">
        <v>182</v>
      </c>
      <c r="M207" s="3" t="s">
        <v>19</v>
      </c>
      <c r="N207" s="3" t="s">
        <v>19</v>
      </c>
      <c r="P207" t="str">
        <f>IF(Tabelle1[[#This Row],[UN Sovereign States (bool)]]="x", Tabelle1[[#This Row],[ISO-alpha3 Code]], Tabelle1[[#This Row],[Occupier]])</f>
        <v>SEN</v>
      </c>
      <c r="Q207" t="str">
        <f>VLOOKUP(Tabelle1[[#This Row],[Assist]],Tabelle1[[ISO-alpha3 Code]:[Country/Area]],2,FALSE)</f>
        <v>Senegal</v>
      </c>
      <c r="R207" t="str">
        <f>Tabelle1[[#This Row],[Country/Area]]</f>
        <v>Senegal</v>
      </c>
    </row>
    <row r="208" spans="1:18" x14ac:dyDescent="0.35">
      <c r="A208" s="2">
        <v>150</v>
      </c>
      <c r="B208" t="s">
        <v>525</v>
      </c>
      <c r="C208" t="s">
        <v>525</v>
      </c>
      <c r="D208" s="2">
        <v>39</v>
      </c>
      <c r="E208" t="s">
        <v>606</v>
      </c>
      <c r="F208" s="2">
        <v>39</v>
      </c>
      <c r="G208" t="s">
        <v>606</v>
      </c>
      <c r="H208" s="4" t="s">
        <v>789</v>
      </c>
      <c r="I208" t="s">
        <v>648</v>
      </c>
      <c r="J208" t="s">
        <v>646</v>
      </c>
      <c r="K208" s="2">
        <v>688</v>
      </c>
      <c r="L208" t="s">
        <v>647</v>
      </c>
      <c r="M208" s="3" t="s">
        <v>19</v>
      </c>
      <c r="N208" s="3" t="s">
        <v>19</v>
      </c>
      <c r="P208" t="str">
        <f>IF(Tabelle1[[#This Row],[UN Sovereign States (bool)]]="x", Tabelle1[[#This Row],[ISO-alpha3 Code]], Tabelle1[[#This Row],[Occupier]])</f>
        <v>SRB</v>
      </c>
      <c r="Q208" t="str">
        <f>VLOOKUP(Tabelle1[[#This Row],[Assist]],Tabelle1[[ISO-alpha3 Code]:[Country/Area]],2,FALSE)</f>
        <v>Serbia</v>
      </c>
      <c r="R208" t="str">
        <f>Tabelle1[[#This Row],[Country/Area]]</f>
        <v>Serbia</v>
      </c>
    </row>
    <row r="209" spans="1:18" x14ac:dyDescent="0.35">
      <c r="A209" s="2">
        <v>2</v>
      </c>
      <c r="B209" t="s">
        <v>2</v>
      </c>
      <c r="C209" t="s">
        <v>2</v>
      </c>
      <c r="D209" s="2">
        <v>202</v>
      </c>
      <c r="E209" t="s">
        <v>26</v>
      </c>
      <c r="F209" s="2">
        <v>14</v>
      </c>
      <c r="G209" t="s">
        <v>27</v>
      </c>
      <c r="H209" s="2" t="s">
        <v>780</v>
      </c>
      <c r="I209" t="s">
        <v>75</v>
      </c>
      <c r="J209" t="s">
        <v>73</v>
      </c>
      <c r="K209" s="2">
        <v>690</v>
      </c>
      <c r="L209" t="s">
        <v>74</v>
      </c>
      <c r="M209" s="3" t="s">
        <v>19</v>
      </c>
      <c r="N209" s="3" t="s">
        <v>19</v>
      </c>
      <c r="P209" t="str">
        <f>IF(Tabelle1[[#This Row],[UN Sovereign States (bool)]]="x", Tabelle1[[#This Row],[ISO-alpha3 Code]], Tabelle1[[#This Row],[Occupier]])</f>
        <v>SYC</v>
      </c>
      <c r="Q209" t="str">
        <f>VLOOKUP(Tabelle1[[#This Row],[Assist]],Tabelle1[[ISO-alpha3 Code]:[Country/Area]],2,FALSE)</f>
        <v>Seychelles</v>
      </c>
      <c r="R209" t="str">
        <f>Tabelle1[[#This Row],[Country/Area]]</f>
        <v>Seychelles</v>
      </c>
    </row>
    <row r="210" spans="1:18" x14ac:dyDescent="0.35">
      <c r="A210" s="2">
        <v>2</v>
      </c>
      <c r="B210" t="s">
        <v>2</v>
      </c>
      <c r="C210" t="s">
        <v>2</v>
      </c>
      <c r="D210" s="2">
        <v>202</v>
      </c>
      <c r="E210" t="s">
        <v>26</v>
      </c>
      <c r="F210" s="2">
        <v>11</v>
      </c>
      <c r="G210" t="s">
        <v>138</v>
      </c>
      <c r="H210" s="2" t="s">
        <v>784</v>
      </c>
      <c r="I210" t="s">
        <v>186</v>
      </c>
      <c r="J210" t="s">
        <v>184</v>
      </c>
      <c r="K210" s="2">
        <v>694</v>
      </c>
      <c r="L210" t="s">
        <v>185</v>
      </c>
      <c r="M210" s="3" t="s">
        <v>19</v>
      </c>
      <c r="N210" s="3" t="s">
        <v>19</v>
      </c>
      <c r="P210" t="str">
        <f>IF(Tabelle1[[#This Row],[UN Sovereign States (bool)]]="x", Tabelle1[[#This Row],[ISO-alpha3 Code]], Tabelle1[[#This Row],[Occupier]])</f>
        <v>SLE</v>
      </c>
      <c r="Q210" t="str">
        <f>VLOOKUP(Tabelle1[[#This Row],[Assist]],Tabelle1[[ISO-alpha3 Code]:[Country/Area]],2,FALSE)</f>
        <v>Sierra Leone</v>
      </c>
      <c r="R210" t="str">
        <f>Tabelle1[[#This Row],[Country/Area]]</f>
        <v>Sierra Leone</v>
      </c>
    </row>
    <row r="211" spans="1:18" x14ac:dyDescent="0.35">
      <c r="A211" s="2">
        <v>142</v>
      </c>
      <c r="B211" t="s">
        <v>370</v>
      </c>
      <c r="C211" t="s">
        <v>370</v>
      </c>
      <c r="D211" s="2">
        <v>35</v>
      </c>
      <c r="E211" t="s">
        <v>409</v>
      </c>
      <c r="F211" s="2">
        <v>35</v>
      </c>
      <c r="G211" t="s">
        <v>409</v>
      </c>
      <c r="H211" s="2" t="s">
        <v>800</v>
      </c>
      <c r="I211" t="s">
        <v>433</v>
      </c>
      <c r="J211" t="s">
        <v>431</v>
      </c>
      <c r="K211" s="2">
        <v>702</v>
      </c>
      <c r="L211" t="s">
        <v>432</v>
      </c>
      <c r="M211" s="3" t="s">
        <v>19</v>
      </c>
      <c r="N211" s="3" t="s">
        <v>19</v>
      </c>
      <c r="P211" t="str">
        <f>IF(Tabelle1[[#This Row],[UN Sovereign States (bool)]]="x", Tabelle1[[#This Row],[ISO-alpha3 Code]], Tabelle1[[#This Row],[Occupier]])</f>
        <v>SGP</v>
      </c>
      <c r="Q211" t="str">
        <f>VLOOKUP(Tabelle1[[#This Row],[Assist]],Tabelle1[[ISO-alpha3 Code]:[Country/Area]],2,FALSE)</f>
        <v>Singapore</v>
      </c>
      <c r="R211" t="str">
        <f>Tabelle1[[#This Row],[Country/Area]]</f>
        <v>Singapore</v>
      </c>
    </row>
    <row r="212" spans="1:18" x14ac:dyDescent="0.35">
      <c r="A212" s="2">
        <v>150</v>
      </c>
      <c r="B212" t="s">
        <v>525</v>
      </c>
      <c r="C212" t="s">
        <v>525</v>
      </c>
      <c r="D212" s="2">
        <v>151</v>
      </c>
      <c r="E212" t="s">
        <v>526</v>
      </c>
      <c r="F212" s="2">
        <v>151</v>
      </c>
      <c r="G212" t="s">
        <v>526</v>
      </c>
      <c r="H212" s="2" t="s">
        <v>789</v>
      </c>
      <c r="I212" t="s">
        <v>553</v>
      </c>
      <c r="J212" t="s">
        <v>551</v>
      </c>
      <c r="K212" s="2">
        <v>703</v>
      </c>
      <c r="L212" t="s">
        <v>552</v>
      </c>
      <c r="M212" s="3" t="s">
        <v>19</v>
      </c>
      <c r="N212" s="3" t="s">
        <v>19</v>
      </c>
      <c r="P212" t="str">
        <f>IF(Tabelle1[[#This Row],[UN Sovereign States (bool)]]="x", Tabelle1[[#This Row],[ISO-alpha3 Code]], Tabelle1[[#This Row],[Occupier]])</f>
        <v>SVK</v>
      </c>
      <c r="Q212" t="str">
        <f>VLOOKUP(Tabelle1[[#This Row],[Assist]],Tabelle1[[ISO-alpha3 Code]:[Country/Area]],2,FALSE)</f>
        <v>Slovakia</v>
      </c>
      <c r="R212" t="str">
        <f>Tabelle1[[#This Row],[Country/Area]]</f>
        <v>Slovakia</v>
      </c>
    </row>
    <row r="213" spans="1:18" x14ac:dyDescent="0.35">
      <c r="A213" s="2">
        <v>142</v>
      </c>
      <c r="B213" t="s">
        <v>370</v>
      </c>
      <c r="C213" t="s">
        <v>370</v>
      </c>
      <c r="D213" s="2">
        <v>35</v>
      </c>
      <c r="E213" t="s">
        <v>409</v>
      </c>
      <c r="F213" s="2">
        <v>35</v>
      </c>
      <c r="G213" t="s">
        <v>409</v>
      </c>
      <c r="H213" s="2" t="s">
        <v>800</v>
      </c>
      <c r="I213" t="s">
        <v>442</v>
      </c>
      <c r="J213" t="s">
        <v>440</v>
      </c>
      <c r="K213" s="2">
        <v>704</v>
      </c>
      <c r="L213" t="s">
        <v>441</v>
      </c>
      <c r="M213" s="3" t="s">
        <v>19</v>
      </c>
      <c r="N213" s="3" t="s">
        <v>19</v>
      </c>
      <c r="P213" t="str">
        <f>IF(Tabelle1[[#This Row],[UN Sovereign States (bool)]]="x", Tabelle1[[#This Row],[ISO-alpha3 Code]], Tabelle1[[#This Row],[Occupier]])</f>
        <v>VNM</v>
      </c>
      <c r="Q213" t="str">
        <f>VLOOKUP(Tabelle1[[#This Row],[Assist]],Tabelle1[[ISO-alpha3 Code]:[Country/Area]],2,FALSE)</f>
        <v>Viet Nam</v>
      </c>
      <c r="R213" t="str">
        <f>Tabelle1[[#This Row],[Country/Area]]</f>
        <v>Viet Nam</v>
      </c>
    </row>
    <row r="214" spans="1:18" x14ac:dyDescent="0.35">
      <c r="A214" s="2">
        <v>150</v>
      </c>
      <c r="B214" t="s">
        <v>525</v>
      </c>
      <c r="C214" t="s">
        <v>525</v>
      </c>
      <c r="D214" s="2">
        <v>39</v>
      </c>
      <c r="E214" t="s">
        <v>606</v>
      </c>
      <c r="F214" s="2">
        <v>39</v>
      </c>
      <c r="G214" t="s">
        <v>606</v>
      </c>
      <c r="H214" s="4" t="s">
        <v>791</v>
      </c>
      <c r="I214" t="s">
        <v>651</v>
      </c>
      <c r="J214" t="s">
        <v>649</v>
      </c>
      <c r="K214" s="2">
        <v>705</v>
      </c>
      <c r="L214" t="s">
        <v>650</v>
      </c>
      <c r="M214" s="3" t="s">
        <v>19</v>
      </c>
      <c r="N214" s="3" t="s">
        <v>19</v>
      </c>
      <c r="P214" t="str">
        <f>IF(Tabelle1[[#This Row],[UN Sovereign States (bool)]]="x", Tabelle1[[#This Row],[ISO-alpha3 Code]], Tabelle1[[#This Row],[Occupier]])</f>
        <v>SVN</v>
      </c>
      <c r="Q214" t="str">
        <f>VLOOKUP(Tabelle1[[#This Row],[Assist]],Tabelle1[[ISO-alpha3 Code]:[Country/Area]],2,FALSE)</f>
        <v>Slovenia</v>
      </c>
      <c r="R214" t="str">
        <f>Tabelle1[[#This Row],[Country/Area]]</f>
        <v>Slovenia</v>
      </c>
    </row>
    <row r="215" spans="1:18" x14ac:dyDescent="0.35">
      <c r="A215" s="2">
        <v>2</v>
      </c>
      <c r="B215" t="s">
        <v>2</v>
      </c>
      <c r="C215" t="s">
        <v>2</v>
      </c>
      <c r="D215" s="2">
        <v>202</v>
      </c>
      <c r="E215" t="s">
        <v>26</v>
      </c>
      <c r="F215" s="2">
        <v>14</v>
      </c>
      <c r="G215" t="s">
        <v>27</v>
      </c>
      <c r="H215" s="2" t="s">
        <v>781</v>
      </c>
      <c r="I215" t="s">
        <v>78</v>
      </c>
      <c r="J215" t="s">
        <v>76</v>
      </c>
      <c r="K215" s="2">
        <v>706</v>
      </c>
      <c r="L215" t="s">
        <v>77</v>
      </c>
      <c r="M215" s="3" t="s">
        <v>19</v>
      </c>
      <c r="N215" s="3" t="s">
        <v>19</v>
      </c>
      <c r="P215" t="str">
        <f>IF(Tabelle1[[#This Row],[UN Sovereign States (bool)]]="x", Tabelle1[[#This Row],[ISO-alpha3 Code]], Tabelle1[[#This Row],[Occupier]])</f>
        <v>SOM</v>
      </c>
      <c r="Q215" t="str">
        <f>VLOOKUP(Tabelle1[[#This Row],[Assist]],Tabelle1[[ISO-alpha3 Code]:[Country/Area]],2,FALSE)</f>
        <v>Somalia</v>
      </c>
      <c r="R215" t="str">
        <f>Tabelle1[[#This Row],[Country/Area]]</f>
        <v>Somalia</v>
      </c>
    </row>
    <row r="216" spans="1:18" x14ac:dyDescent="0.35">
      <c r="A216" s="2">
        <v>2</v>
      </c>
      <c r="B216" t="s">
        <v>2</v>
      </c>
      <c r="C216" t="s">
        <v>2</v>
      </c>
      <c r="D216" s="2">
        <v>202</v>
      </c>
      <c r="E216" t="s">
        <v>26</v>
      </c>
      <c r="F216" s="2">
        <v>18</v>
      </c>
      <c r="G216" t="s">
        <v>122</v>
      </c>
      <c r="H216" s="2" t="s">
        <v>783</v>
      </c>
      <c r="I216" t="s">
        <v>137</v>
      </c>
      <c r="J216" t="s">
        <v>135</v>
      </c>
      <c r="K216" s="2">
        <v>710</v>
      </c>
      <c r="L216" t="s">
        <v>136</v>
      </c>
      <c r="M216" s="3" t="s">
        <v>19</v>
      </c>
      <c r="N216" s="3" t="s">
        <v>19</v>
      </c>
      <c r="P216" t="str">
        <f>IF(Tabelle1[[#This Row],[UN Sovereign States (bool)]]="x", Tabelle1[[#This Row],[ISO-alpha3 Code]], Tabelle1[[#This Row],[Occupier]])</f>
        <v>ZAF</v>
      </c>
      <c r="Q216" t="str">
        <f>VLOOKUP(Tabelle1[[#This Row],[Assist]],Tabelle1[[ISO-alpha3 Code]:[Country/Area]],2,FALSE)</f>
        <v>South Africa</v>
      </c>
      <c r="R216" t="str">
        <f>Tabelle1[[#This Row],[Country/Area]]</f>
        <v>South Africa</v>
      </c>
    </row>
    <row r="217" spans="1:18" x14ac:dyDescent="0.35">
      <c r="A217" s="2">
        <v>2</v>
      </c>
      <c r="B217" t="s">
        <v>2</v>
      </c>
      <c r="C217" t="s">
        <v>2</v>
      </c>
      <c r="D217" s="2">
        <v>202</v>
      </c>
      <c r="E217" t="s">
        <v>26</v>
      </c>
      <c r="F217" s="2">
        <v>14</v>
      </c>
      <c r="G217" t="s">
        <v>27</v>
      </c>
      <c r="H217" s="2" t="s">
        <v>783</v>
      </c>
      <c r="I217" t="s">
        <v>93</v>
      </c>
      <c r="J217" t="s">
        <v>91</v>
      </c>
      <c r="K217" s="2">
        <v>716</v>
      </c>
      <c r="L217" t="s">
        <v>92</v>
      </c>
      <c r="M217" s="3" t="s">
        <v>19</v>
      </c>
      <c r="N217" s="3" t="s">
        <v>19</v>
      </c>
      <c r="P217" t="str">
        <f>IF(Tabelle1[[#This Row],[UN Sovereign States (bool)]]="x", Tabelle1[[#This Row],[ISO-alpha3 Code]], Tabelle1[[#This Row],[Occupier]])</f>
        <v>ZWE</v>
      </c>
      <c r="Q217" t="str">
        <f>VLOOKUP(Tabelle1[[#This Row],[Assist]],Tabelle1[[ISO-alpha3 Code]:[Country/Area]],2,FALSE)</f>
        <v>Zimbabwe</v>
      </c>
      <c r="R217" t="str">
        <f>Tabelle1[[#This Row],[Country/Area]]</f>
        <v>Zimbabwe</v>
      </c>
    </row>
    <row r="218" spans="1:18" x14ac:dyDescent="0.35">
      <c r="A218" s="2">
        <v>150</v>
      </c>
      <c r="B218" t="s">
        <v>525</v>
      </c>
      <c r="C218" t="s">
        <v>525</v>
      </c>
      <c r="D218" s="2">
        <v>39</v>
      </c>
      <c r="E218" t="s">
        <v>606</v>
      </c>
      <c r="F218" s="2">
        <v>39</v>
      </c>
      <c r="G218" t="s">
        <v>606</v>
      </c>
      <c r="H218" s="4" t="s">
        <v>791</v>
      </c>
      <c r="I218" t="s">
        <v>654</v>
      </c>
      <c r="J218" t="s">
        <v>652</v>
      </c>
      <c r="K218" s="2">
        <v>724</v>
      </c>
      <c r="L218" t="s">
        <v>653</v>
      </c>
      <c r="M218" s="3" t="s">
        <v>19</v>
      </c>
      <c r="N218" s="3" t="s">
        <v>19</v>
      </c>
      <c r="P218" t="str">
        <f>IF(Tabelle1[[#This Row],[UN Sovereign States (bool)]]="x", Tabelle1[[#This Row],[ISO-alpha3 Code]], Tabelle1[[#This Row],[Occupier]])</f>
        <v>ESP</v>
      </c>
      <c r="Q218" t="str">
        <f>VLOOKUP(Tabelle1[[#This Row],[Assist]],Tabelle1[[ISO-alpha3 Code]:[Country/Area]],2,FALSE)</f>
        <v>Spain</v>
      </c>
      <c r="R218" t="str">
        <f>Tabelle1[[#This Row],[Country/Area]]</f>
        <v>Spain</v>
      </c>
    </row>
    <row r="219" spans="1:18" x14ac:dyDescent="0.35">
      <c r="A219" s="2">
        <v>2</v>
      </c>
      <c r="B219" t="s">
        <v>2</v>
      </c>
      <c r="C219" t="s">
        <v>2</v>
      </c>
      <c r="D219" s="2">
        <v>202</v>
      </c>
      <c r="E219" t="s">
        <v>26</v>
      </c>
      <c r="F219" s="2">
        <v>14</v>
      </c>
      <c r="G219" t="s">
        <v>27</v>
      </c>
      <c r="H219" s="2" t="s">
        <v>782</v>
      </c>
      <c r="I219" t="s">
        <v>81</v>
      </c>
      <c r="J219" t="s">
        <v>79</v>
      </c>
      <c r="K219" s="2">
        <v>728</v>
      </c>
      <c r="L219" t="s">
        <v>80</v>
      </c>
      <c r="M219" s="3" t="s">
        <v>19</v>
      </c>
      <c r="N219" s="3" t="s">
        <v>19</v>
      </c>
      <c r="P219" t="str">
        <f>IF(Tabelle1[[#This Row],[UN Sovereign States (bool)]]="x", Tabelle1[[#This Row],[ISO-alpha3 Code]], Tabelle1[[#This Row],[Occupier]])</f>
        <v>SSD</v>
      </c>
      <c r="Q219" t="str">
        <f>VLOOKUP(Tabelle1[[#This Row],[Assist]],Tabelle1[[ISO-alpha3 Code]:[Country/Area]],2,FALSE)</f>
        <v>South Sudan</v>
      </c>
      <c r="R219" t="str">
        <f>Tabelle1[[#This Row],[Country/Area]]</f>
        <v>South Sudan</v>
      </c>
    </row>
    <row r="220" spans="1:18" x14ac:dyDescent="0.35">
      <c r="A220" s="2">
        <v>2</v>
      </c>
      <c r="B220" t="s">
        <v>2</v>
      </c>
      <c r="C220" t="s">
        <v>2</v>
      </c>
      <c r="D220" s="2">
        <v>15</v>
      </c>
      <c r="E220" t="s">
        <v>3</v>
      </c>
      <c r="F220" s="2">
        <v>15</v>
      </c>
      <c r="G220" t="s">
        <v>3</v>
      </c>
      <c r="H220" s="2" t="s">
        <v>782</v>
      </c>
      <c r="I220" t="s">
        <v>18</v>
      </c>
      <c r="J220" t="s">
        <v>16</v>
      </c>
      <c r="K220" s="2">
        <v>729</v>
      </c>
      <c r="L220" t="s">
        <v>17</v>
      </c>
      <c r="M220" s="3" t="s">
        <v>19</v>
      </c>
      <c r="N220" s="3" t="s">
        <v>19</v>
      </c>
      <c r="P220" t="str">
        <f>IF(Tabelle1[[#This Row],[UN Sovereign States (bool)]]="x", Tabelle1[[#This Row],[ISO-alpha3 Code]], Tabelle1[[#This Row],[Occupier]])</f>
        <v>SDN</v>
      </c>
      <c r="Q220" t="str">
        <f>VLOOKUP(Tabelle1[[#This Row],[Assist]],Tabelle1[[ISO-alpha3 Code]:[Country/Area]],2,FALSE)</f>
        <v>Sudan</v>
      </c>
      <c r="R220" t="str">
        <f>Tabelle1[[#This Row],[Country/Area]]</f>
        <v>Sudan</v>
      </c>
    </row>
    <row r="221" spans="1:18" x14ac:dyDescent="0.35">
      <c r="A221" s="2">
        <v>2</v>
      </c>
      <c r="B221" t="s">
        <v>2</v>
      </c>
      <c r="C221" t="s">
        <v>2</v>
      </c>
      <c r="D221" s="2">
        <v>15</v>
      </c>
      <c r="E221" t="s">
        <v>3</v>
      </c>
      <c r="F221" s="2">
        <v>15</v>
      </c>
      <c r="G221" t="s">
        <v>3</v>
      </c>
      <c r="H221" s="2" t="s">
        <v>786</v>
      </c>
      <c r="I221" t="s">
        <v>25</v>
      </c>
      <c r="J221" t="s">
        <v>23</v>
      </c>
      <c r="K221" s="2">
        <v>732</v>
      </c>
      <c r="L221" t="s">
        <v>24</v>
      </c>
      <c r="M221" s="3" t="s">
        <v>19</v>
      </c>
      <c r="O221" s="3" t="s">
        <v>15</v>
      </c>
      <c r="P221" t="str">
        <f>IF(Tabelle1[[#This Row],[UN Sovereign States (bool)]]="x", Tabelle1[[#This Row],[ISO-alpha3 Code]], Tabelle1[[#This Row],[Occupier]])</f>
        <v>MAR</v>
      </c>
      <c r="Q221" t="str">
        <f>VLOOKUP(Tabelle1[[#This Row],[Assist]],Tabelle1[[ISO-alpha3 Code]:[Country/Area]],2,FALSE)</f>
        <v>Morocco</v>
      </c>
      <c r="R221" t="str">
        <f>Tabelle1[[#This Row],[Country/Area]]</f>
        <v>Western Sahara</v>
      </c>
    </row>
    <row r="222" spans="1:18" x14ac:dyDescent="0.35">
      <c r="A222" s="2">
        <v>19</v>
      </c>
      <c r="B222" t="s">
        <v>190</v>
      </c>
      <c r="C222" s="3" t="s">
        <v>302</v>
      </c>
      <c r="D222" s="2">
        <v>419</v>
      </c>
      <c r="E222" t="s">
        <v>191</v>
      </c>
      <c r="F222" s="2">
        <v>5</v>
      </c>
      <c r="G222" t="s">
        <v>302</v>
      </c>
      <c r="H222" s="2" t="s">
        <v>795</v>
      </c>
      <c r="I222" t="s">
        <v>344</v>
      </c>
      <c r="J222" t="s">
        <v>342</v>
      </c>
      <c r="K222" s="2">
        <v>740</v>
      </c>
      <c r="L222" t="s">
        <v>343</v>
      </c>
      <c r="M222" s="3" t="s">
        <v>19</v>
      </c>
      <c r="N222" s="3" t="s">
        <v>19</v>
      </c>
      <c r="P222" t="str">
        <f>IF(Tabelle1[[#This Row],[UN Sovereign States (bool)]]="x", Tabelle1[[#This Row],[ISO-alpha3 Code]], Tabelle1[[#This Row],[Occupier]])</f>
        <v>SUR</v>
      </c>
      <c r="Q222" t="str">
        <f>VLOOKUP(Tabelle1[[#This Row],[Assist]],Tabelle1[[ISO-alpha3 Code]:[Country/Area]],2,FALSE)</f>
        <v>Suriname</v>
      </c>
      <c r="R222" t="str">
        <f>Tabelle1[[#This Row],[Country/Area]]</f>
        <v>Suriname</v>
      </c>
    </row>
    <row r="223" spans="1:18" x14ac:dyDescent="0.35">
      <c r="A223" s="2">
        <v>150</v>
      </c>
      <c r="B223" t="s">
        <v>525</v>
      </c>
      <c r="C223" t="s">
        <v>525</v>
      </c>
      <c r="D223" s="2">
        <v>154</v>
      </c>
      <c r="E223" t="s">
        <v>557</v>
      </c>
      <c r="F223" s="2">
        <v>154</v>
      </c>
      <c r="G223" t="s">
        <v>557</v>
      </c>
      <c r="H223" s="4" t="s">
        <v>790</v>
      </c>
      <c r="I223" t="s">
        <v>599</v>
      </c>
      <c r="J223" t="s">
        <v>597</v>
      </c>
      <c r="K223" s="2">
        <v>744</v>
      </c>
      <c r="L223" t="s">
        <v>598</v>
      </c>
      <c r="M223" s="3" t="s">
        <v>19</v>
      </c>
      <c r="O223" s="3" t="s">
        <v>596</v>
      </c>
      <c r="P223" t="str">
        <f>IF(Tabelle1[[#This Row],[UN Sovereign States (bool)]]="x", Tabelle1[[#This Row],[ISO-alpha3 Code]], Tabelle1[[#This Row],[Occupier]])</f>
        <v>NOR</v>
      </c>
      <c r="Q223" t="str">
        <f>VLOOKUP(Tabelle1[[#This Row],[Assist]],Tabelle1[[ISO-alpha3 Code]:[Country/Area]],2,FALSE)</f>
        <v>Norway</v>
      </c>
      <c r="R223" t="str">
        <f>Tabelle1[[#This Row],[Country/Area]]</f>
        <v>Svalbard and Jan Mayen Islands</v>
      </c>
    </row>
    <row r="224" spans="1:18" x14ac:dyDescent="0.35">
      <c r="A224" s="2">
        <v>2</v>
      </c>
      <c r="B224" t="s">
        <v>2</v>
      </c>
      <c r="C224" t="s">
        <v>2</v>
      </c>
      <c r="D224" s="2">
        <v>202</v>
      </c>
      <c r="E224" t="s">
        <v>26</v>
      </c>
      <c r="F224" s="2">
        <v>18</v>
      </c>
      <c r="G224" t="s">
        <v>122</v>
      </c>
      <c r="H224" s="2" t="s">
        <v>783</v>
      </c>
      <c r="I224" t="s">
        <v>128</v>
      </c>
      <c r="J224" t="s">
        <v>126</v>
      </c>
      <c r="K224" s="2">
        <v>748</v>
      </c>
      <c r="L224" t="s">
        <v>127</v>
      </c>
      <c r="M224" s="3" t="s">
        <v>19</v>
      </c>
      <c r="N224" s="3" t="s">
        <v>19</v>
      </c>
      <c r="P224" t="str">
        <f>IF(Tabelle1[[#This Row],[UN Sovereign States (bool)]]="x", Tabelle1[[#This Row],[ISO-alpha3 Code]], Tabelle1[[#This Row],[Occupier]])</f>
        <v>SWZ</v>
      </c>
      <c r="Q224" t="str">
        <f>VLOOKUP(Tabelle1[[#This Row],[Assist]],Tabelle1[[ISO-alpha3 Code]:[Country/Area]],2,FALSE)</f>
        <v>Eswatini</v>
      </c>
      <c r="R224" t="str">
        <f>Tabelle1[[#This Row],[Country/Area]]</f>
        <v>Eswatini</v>
      </c>
    </row>
    <row r="225" spans="1:18" x14ac:dyDescent="0.35">
      <c r="A225" s="2">
        <v>150</v>
      </c>
      <c r="B225" t="s">
        <v>525</v>
      </c>
      <c r="C225" t="s">
        <v>525</v>
      </c>
      <c r="D225" s="2">
        <v>154</v>
      </c>
      <c r="E225" t="s">
        <v>557</v>
      </c>
      <c r="F225" s="2">
        <v>154</v>
      </c>
      <c r="G225" t="s">
        <v>557</v>
      </c>
      <c r="H225" s="2" t="s">
        <v>790</v>
      </c>
      <c r="I225" t="s">
        <v>602</v>
      </c>
      <c r="J225" t="s">
        <v>600</v>
      </c>
      <c r="K225" s="2">
        <v>752</v>
      </c>
      <c r="L225" t="s">
        <v>601</v>
      </c>
      <c r="M225" s="3" t="s">
        <v>19</v>
      </c>
      <c r="N225" s="3" t="s">
        <v>19</v>
      </c>
      <c r="P225" t="str">
        <f>IF(Tabelle1[[#This Row],[UN Sovereign States (bool)]]="x", Tabelle1[[#This Row],[ISO-alpha3 Code]], Tabelle1[[#This Row],[Occupier]])</f>
        <v>SWE</v>
      </c>
      <c r="Q225" t="str">
        <f>VLOOKUP(Tabelle1[[#This Row],[Assist]],Tabelle1[[ISO-alpha3 Code]:[Country/Area]],2,FALSE)</f>
        <v>Sweden</v>
      </c>
      <c r="R225" t="str">
        <f>Tabelle1[[#This Row],[Country/Area]]</f>
        <v>Sweden</v>
      </c>
    </row>
    <row r="226" spans="1:18" x14ac:dyDescent="0.35">
      <c r="A226" s="2">
        <v>150</v>
      </c>
      <c r="B226" t="s">
        <v>525</v>
      </c>
      <c r="C226" t="s">
        <v>525</v>
      </c>
      <c r="D226" s="2">
        <v>155</v>
      </c>
      <c r="E226" t="s">
        <v>655</v>
      </c>
      <c r="F226" s="2">
        <v>155</v>
      </c>
      <c r="G226" t="s">
        <v>655</v>
      </c>
      <c r="H226" s="4" t="s">
        <v>790</v>
      </c>
      <c r="I226" t="s">
        <v>682</v>
      </c>
      <c r="J226" t="s">
        <v>680</v>
      </c>
      <c r="K226" s="2">
        <v>756</v>
      </c>
      <c r="L226" t="s">
        <v>681</v>
      </c>
      <c r="M226" s="3" t="s">
        <v>19</v>
      </c>
      <c r="N226" s="3" t="s">
        <v>19</v>
      </c>
      <c r="P226" t="str">
        <f>IF(Tabelle1[[#This Row],[UN Sovereign States (bool)]]="x", Tabelle1[[#This Row],[ISO-alpha3 Code]], Tabelle1[[#This Row],[Occupier]])</f>
        <v>CHE</v>
      </c>
      <c r="Q226" t="str">
        <f>VLOOKUP(Tabelle1[[#This Row],[Assist]],Tabelle1[[ISO-alpha3 Code]:[Country/Area]],2,FALSE)</f>
        <v>Switzerland</v>
      </c>
      <c r="R226" t="str">
        <f>Tabelle1[[#This Row],[Country/Area]]</f>
        <v>Switzerland</v>
      </c>
    </row>
    <row r="227" spans="1:18" x14ac:dyDescent="0.35">
      <c r="A227" s="2">
        <v>142</v>
      </c>
      <c r="B227" t="s">
        <v>370</v>
      </c>
      <c r="C227" t="s">
        <v>370</v>
      </c>
      <c r="D227" s="2">
        <v>145</v>
      </c>
      <c r="E227" t="s">
        <v>471</v>
      </c>
      <c r="F227" s="2">
        <v>145</v>
      </c>
      <c r="G227" t="s">
        <v>471</v>
      </c>
      <c r="H227" s="2" t="s">
        <v>802</v>
      </c>
      <c r="I227" t="s">
        <v>515</v>
      </c>
      <c r="J227" t="s">
        <v>513</v>
      </c>
      <c r="K227" s="2">
        <v>760</v>
      </c>
      <c r="L227" t="s">
        <v>514</v>
      </c>
      <c r="M227" s="3" t="s">
        <v>19</v>
      </c>
      <c r="N227" s="3" t="s">
        <v>19</v>
      </c>
      <c r="P227" t="str">
        <f>IF(Tabelle1[[#This Row],[UN Sovereign States (bool)]]="x", Tabelle1[[#This Row],[ISO-alpha3 Code]], Tabelle1[[#This Row],[Occupier]])</f>
        <v>SYR</v>
      </c>
      <c r="Q227" t="str">
        <f>VLOOKUP(Tabelle1[[#This Row],[Assist]],Tabelle1[[ISO-alpha3 Code]:[Country/Area]],2,FALSE)</f>
        <v>Syrian Arab Republic</v>
      </c>
      <c r="R227" t="str">
        <f>Tabelle1[[#This Row],[Country/Area]]</f>
        <v>Syrian Arab Republic</v>
      </c>
    </row>
    <row r="228" spans="1:18" x14ac:dyDescent="0.35">
      <c r="A228" s="2">
        <v>142</v>
      </c>
      <c r="B228" t="s">
        <v>370</v>
      </c>
      <c r="C228" t="s">
        <v>370</v>
      </c>
      <c r="D228" s="2">
        <v>143</v>
      </c>
      <c r="E228" t="s">
        <v>371</v>
      </c>
      <c r="F228" s="2">
        <v>143</v>
      </c>
      <c r="G228" t="s">
        <v>371</v>
      </c>
      <c r="H228" t="s">
        <v>796</v>
      </c>
      <c r="I228" t="s">
        <v>380</v>
      </c>
      <c r="J228" t="s">
        <v>378</v>
      </c>
      <c r="K228" s="2">
        <v>762</v>
      </c>
      <c r="L228" t="s">
        <v>379</v>
      </c>
      <c r="M228" s="3" t="s">
        <v>19</v>
      </c>
      <c r="N228" s="3" t="s">
        <v>19</v>
      </c>
      <c r="P228" t="str">
        <f>IF(Tabelle1[[#This Row],[UN Sovereign States (bool)]]="x", Tabelle1[[#This Row],[ISO-alpha3 Code]], Tabelle1[[#This Row],[Occupier]])</f>
        <v>TJK</v>
      </c>
      <c r="Q228" t="str">
        <f>VLOOKUP(Tabelle1[[#This Row],[Assist]],Tabelle1[[ISO-alpha3 Code]:[Country/Area]],2,FALSE)</f>
        <v>Tajikistan</v>
      </c>
      <c r="R228" t="str">
        <f>Tabelle1[[#This Row],[Country/Area]]</f>
        <v>Tajikistan</v>
      </c>
    </row>
    <row r="229" spans="1:18" x14ac:dyDescent="0.35">
      <c r="A229" s="2">
        <v>142</v>
      </c>
      <c r="B229" t="s">
        <v>370</v>
      </c>
      <c r="C229" t="s">
        <v>370</v>
      </c>
      <c r="D229" s="2">
        <v>35</v>
      </c>
      <c r="E229" t="s">
        <v>409</v>
      </c>
      <c r="F229" s="2">
        <v>35</v>
      </c>
      <c r="G229" t="s">
        <v>409</v>
      </c>
      <c r="H229" s="2" t="s">
        <v>800</v>
      </c>
      <c r="I229" t="s">
        <v>436</v>
      </c>
      <c r="J229" t="s">
        <v>434</v>
      </c>
      <c r="K229" s="2">
        <v>764</v>
      </c>
      <c r="L229" t="s">
        <v>435</v>
      </c>
      <c r="M229" s="3" t="s">
        <v>19</v>
      </c>
      <c r="N229" s="3" t="s">
        <v>19</v>
      </c>
      <c r="P229" t="str">
        <f>IF(Tabelle1[[#This Row],[UN Sovereign States (bool)]]="x", Tabelle1[[#This Row],[ISO-alpha3 Code]], Tabelle1[[#This Row],[Occupier]])</f>
        <v>THA</v>
      </c>
      <c r="Q229" t="str">
        <f>VLOOKUP(Tabelle1[[#This Row],[Assist]],Tabelle1[[ISO-alpha3 Code]:[Country/Area]],2,FALSE)</f>
        <v>Thailand</v>
      </c>
      <c r="R229" t="str">
        <f>Tabelle1[[#This Row],[Country/Area]]</f>
        <v>Thailand</v>
      </c>
    </row>
    <row r="230" spans="1:18" x14ac:dyDescent="0.35">
      <c r="A230" s="2">
        <v>2</v>
      </c>
      <c r="B230" t="s">
        <v>2</v>
      </c>
      <c r="C230" t="s">
        <v>2</v>
      </c>
      <c r="D230" s="2">
        <v>202</v>
      </c>
      <c r="E230" t="s">
        <v>26</v>
      </c>
      <c r="F230" s="2">
        <v>11</v>
      </c>
      <c r="G230" t="s">
        <v>138</v>
      </c>
      <c r="H230" s="2" t="s">
        <v>784</v>
      </c>
      <c r="I230" t="s">
        <v>189</v>
      </c>
      <c r="J230" t="s">
        <v>187</v>
      </c>
      <c r="K230" s="2">
        <v>768</v>
      </c>
      <c r="L230" t="s">
        <v>188</v>
      </c>
      <c r="M230" s="3" t="s">
        <v>19</v>
      </c>
      <c r="N230" s="3" t="s">
        <v>19</v>
      </c>
      <c r="P230" t="str">
        <f>IF(Tabelle1[[#This Row],[UN Sovereign States (bool)]]="x", Tabelle1[[#This Row],[ISO-alpha3 Code]], Tabelle1[[#This Row],[Occupier]])</f>
        <v>TGO</v>
      </c>
      <c r="Q230" t="str">
        <f>VLOOKUP(Tabelle1[[#This Row],[Assist]],Tabelle1[[ISO-alpha3 Code]:[Country/Area]],2,FALSE)</f>
        <v>Togo</v>
      </c>
      <c r="R230" t="str">
        <f>Tabelle1[[#This Row],[Country/Area]]</f>
        <v>Togo</v>
      </c>
    </row>
    <row r="231" spans="1:18" x14ac:dyDescent="0.35">
      <c r="A231" s="2">
        <v>9</v>
      </c>
      <c r="B231" t="s">
        <v>683</v>
      </c>
      <c r="C231" t="s">
        <v>683</v>
      </c>
      <c r="D231" s="2">
        <v>61</v>
      </c>
      <c r="E231" t="s">
        <v>744</v>
      </c>
      <c r="F231" s="2">
        <v>61</v>
      </c>
      <c r="G231" t="s">
        <v>744</v>
      </c>
      <c r="H231" s="2" t="s">
        <v>788</v>
      </c>
      <c r="I231" t="s">
        <v>765</v>
      </c>
      <c r="J231" t="s">
        <v>763</v>
      </c>
      <c r="K231" s="2">
        <v>772</v>
      </c>
      <c r="L231" t="s">
        <v>764</v>
      </c>
      <c r="M231" s="3" t="s">
        <v>19</v>
      </c>
      <c r="O231" s="3" t="s">
        <v>699</v>
      </c>
      <c r="P231" t="str">
        <f>IF(Tabelle1[[#This Row],[UN Sovereign States (bool)]]="x", Tabelle1[[#This Row],[ISO-alpha3 Code]], Tabelle1[[#This Row],[Occupier]])</f>
        <v>NZL</v>
      </c>
      <c r="Q231" t="str">
        <f>VLOOKUP(Tabelle1[[#This Row],[Assist]],Tabelle1[[ISO-alpha3 Code]:[Country/Area]],2,FALSE)</f>
        <v>New Zealand</v>
      </c>
      <c r="R231" t="str">
        <f>Tabelle1[[#This Row],[Country/Area]]</f>
        <v>Tokelau</v>
      </c>
    </row>
    <row r="232" spans="1:18" x14ac:dyDescent="0.35">
      <c r="A232" s="2">
        <v>9</v>
      </c>
      <c r="B232" t="s">
        <v>683</v>
      </c>
      <c r="C232" t="s">
        <v>683</v>
      </c>
      <c r="D232" s="2">
        <v>61</v>
      </c>
      <c r="E232" t="s">
        <v>744</v>
      </c>
      <c r="F232" s="2">
        <v>61</v>
      </c>
      <c r="G232" t="s">
        <v>744</v>
      </c>
      <c r="H232" s="2" t="s">
        <v>788</v>
      </c>
      <c r="I232" t="s">
        <v>768</v>
      </c>
      <c r="J232" t="s">
        <v>766</v>
      </c>
      <c r="K232" s="2">
        <v>776</v>
      </c>
      <c r="L232" t="s">
        <v>767</v>
      </c>
      <c r="M232" s="3" t="s">
        <v>19</v>
      </c>
      <c r="N232" s="3" t="s">
        <v>19</v>
      </c>
      <c r="P232" t="str">
        <f>IF(Tabelle1[[#This Row],[UN Sovereign States (bool)]]="x", Tabelle1[[#This Row],[ISO-alpha3 Code]], Tabelle1[[#This Row],[Occupier]])</f>
        <v>TON</v>
      </c>
      <c r="Q232" t="str">
        <f>VLOOKUP(Tabelle1[[#This Row],[Assist]],Tabelle1[[ISO-alpha3 Code]:[Country/Area]],2,FALSE)</f>
        <v>Tonga</v>
      </c>
      <c r="R232" t="str">
        <f>Tabelle1[[#This Row],[Country/Area]]</f>
        <v>Tonga</v>
      </c>
    </row>
    <row r="233" spans="1:18" x14ac:dyDescent="0.35">
      <c r="A233" s="2">
        <v>19</v>
      </c>
      <c r="B233" t="s">
        <v>190</v>
      </c>
      <c r="C233" s="3" t="s">
        <v>778</v>
      </c>
      <c r="D233" s="2">
        <v>419</v>
      </c>
      <c r="E233" t="s">
        <v>191</v>
      </c>
      <c r="F233" s="2">
        <v>29</v>
      </c>
      <c r="G233" t="s">
        <v>192</v>
      </c>
      <c r="H233" t="s">
        <v>192</v>
      </c>
      <c r="I233" t="s">
        <v>270</v>
      </c>
      <c r="J233" t="s">
        <v>268</v>
      </c>
      <c r="K233" s="2">
        <v>780</v>
      </c>
      <c r="L233" t="s">
        <v>269</v>
      </c>
      <c r="M233" s="3" t="s">
        <v>19</v>
      </c>
      <c r="N233" s="3" t="s">
        <v>19</v>
      </c>
      <c r="P233" t="str">
        <f>IF(Tabelle1[[#This Row],[UN Sovereign States (bool)]]="x", Tabelle1[[#This Row],[ISO-alpha3 Code]], Tabelle1[[#This Row],[Occupier]])</f>
        <v>TTO</v>
      </c>
      <c r="Q233" t="str">
        <f>VLOOKUP(Tabelle1[[#This Row],[Assist]],Tabelle1[[ISO-alpha3 Code]:[Country/Area]],2,FALSE)</f>
        <v>Trinidad and Tobago</v>
      </c>
      <c r="R233" t="str">
        <f>Tabelle1[[#This Row],[Country/Area]]</f>
        <v>Trinidad and Tobago</v>
      </c>
    </row>
    <row r="234" spans="1:18" x14ac:dyDescent="0.35">
      <c r="A234" s="2">
        <v>142</v>
      </c>
      <c r="B234" t="s">
        <v>370</v>
      </c>
      <c r="C234" t="s">
        <v>370</v>
      </c>
      <c r="D234" s="2">
        <v>145</v>
      </c>
      <c r="E234" t="s">
        <v>471</v>
      </c>
      <c r="F234" s="2">
        <v>145</v>
      </c>
      <c r="G234" t="s">
        <v>471</v>
      </c>
      <c r="H234" s="2" t="s">
        <v>799</v>
      </c>
      <c r="I234" t="s">
        <v>521</v>
      </c>
      <c r="J234" t="s">
        <v>519</v>
      </c>
      <c r="K234" s="2">
        <v>784</v>
      </c>
      <c r="L234" t="s">
        <v>520</v>
      </c>
      <c r="M234" s="3" t="s">
        <v>19</v>
      </c>
      <c r="N234" s="3" t="s">
        <v>19</v>
      </c>
      <c r="P234" t="str">
        <f>IF(Tabelle1[[#This Row],[UN Sovereign States (bool)]]="x", Tabelle1[[#This Row],[ISO-alpha3 Code]], Tabelle1[[#This Row],[Occupier]])</f>
        <v>ARE</v>
      </c>
      <c r="Q234" t="str">
        <f>VLOOKUP(Tabelle1[[#This Row],[Assist]],Tabelle1[[ISO-alpha3 Code]:[Country/Area]],2,FALSE)</f>
        <v>United Arab Emirates</v>
      </c>
      <c r="R234" t="str">
        <f>Tabelle1[[#This Row],[Country/Area]]</f>
        <v>United Arab Emirates</v>
      </c>
    </row>
    <row r="235" spans="1:18" x14ac:dyDescent="0.35">
      <c r="A235" s="2">
        <v>2</v>
      </c>
      <c r="B235" t="s">
        <v>2</v>
      </c>
      <c r="C235" t="s">
        <v>2</v>
      </c>
      <c r="D235" s="2">
        <v>15</v>
      </c>
      <c r="E235" t="s">
        <v>3</v>
      </c>
      <c r="F235" s="2">
        <v>15</v>
      </c>
      <c r="G235" t="s">
        <v>3</v>
      </c>
      <c r="H235" s="2" t="s">
        <v>786</v>
      </c>
      <c r="I235" t="s">
        <v>22</v>
      </c>
      <c r="J235" t="s">
        <v>20</v>
      </c>
      <c r="K235" s="2">
        <v>788</v>
      </c>
      <c r="L235" t="s">
        <v>21</v>
      </c>
      <c r="M235" s="3" t="s">
        <v>19</v>
      </c>
      <c r="N235" s="3" t="s">
        <v>19</v>
      </c>
      <c r="P235" t="str">
        <f>IF(Tabelle1[[#This Row],[UN Sovereign States (bool)]]="x", Tabelle1[[#This Row],[ISO-alpha3 Code]], Tabelle1[[#This Row],[Occupier]])</f>
        <v>TUN</v>
      </c>
      <c r="Q235" t="str">
        <f>VLOOKUP(Tabelle1[[#This Row],[Assist]],Tabelle1[[ISO-alpha3 Code]:[Country/Area]],2,FALSE)</f>
        <v>Tunisia</v>
      </c>
      <c r="R235" t="str">
        <f>Tabelle1[[#This Row],[Country/Area]]</f>
        <v>Tunisia</v>
      </c>
    </row>
    <row r="236" spans="1:18" x14ac:dyDescent="0.35">
      <c r="A236" s="2">
        <v>142</v>
      </c>
      <c r="B236" t="s">
        <v>370</v>
      </c>
      <c r="C236" t="s">
        <v>370</v>
      </c>
      <c r="D236" s="2">
        <v>145</v>
      </c>
      <c r="E236" t="s">
        <v>471</v>
      </c>
      <c r="F236" s="2">
        <v>145</v>
      </c>
      <c r="G236" t="s">
        <v>471</v>
      </c>
      <c r="H236" s="2" t="s">
        <v>802</v>
      </c>
      <c r="I236" t="s">
        <v>518</v>
      </c>
      <c r="J236" t="s">
        <v>516</v>
      </c>
      <c r="K236" s="2">
        <v>792</v>
      </c>
      <c r="L236" t="s">
        <v>517</v>
      </c>
      <c r="M236" s="3" t="s">
        <v>19</v>
      </c>
      <c r="N236" s="3" t="s">
        <v>19</v>
      </c>
      <c r="P236" t="str">
        <f>IF(Tabelle1[[#This Row],[UN Sovereign States (bool)]]="x", Tabelle1[[#This Row],[ISO-alpha3 Code]], Tabelle1[[#This Row],[Occupier]])</f>
        <v>TUR</v>
      </c>
      <c r="Q236" t="str">
        <f>VLOOKUP(Tabelle1[[#This Row],[Assist]],Tabelle1[[ISO-alpha3 Code]:[Country/Area]],2,FALSE)</f>
        <v>Türkiye</v>
      </c>
      <c r="R236" t="str">
        <f>Tabelle1[[#This Row],[Country/Area]]</f>
        <v>Türkiye</v>
      </c>
    </row>
    <row r="237" spans="1:18" x14ac:dyDescent="0.35">
      <c r="A237" s="2">
        <v>142</v>
      </c>
      <c r="B237" t="s">
        <v>370</v>
      </c>
      <c r="C237" t="s">
        <v>370</v>
      </c>
      <c r="D237" s="2">
        <v>143</v>
      </c>
      <c r="E237" t="s">
        <v>371</v>
      </c>
      <c r="F237" s="2">
        <v>143</v>
      </c>
      <c r="G237" t="s">
        <v>371</v>
      </c>
      <c r="H237" s="2" t="s">
        <v>799</v>
      </c>
      <c r="I237" t="s">
        <v>383</v>
      </c>
      <c r="J237" t="s">
        <v>381</v>
      </c>
      <c r="K237" s="2">
        <v>795</v>
      </c>
      <c r="L237" t="s">
        <v>382</v>
      </c>
      <c r="M237" s="3" t="s">
        <v>19</v>
      </c>
      <c r="N237" s="3" t="s">
        <v>19</v>
      </c>
      <c r="P237" t="str">
        <f>IF(Tabelle1[[#This Row],[UN Sovereign States (bool)]]="x", Tabelle1[[#This Row],[ISO-alpha3 Code]], Tabelle1[[#This Row],[Occupier]])</f>
        <v>TKM</v>
      </c>
      <c r="Q237" t="str">
        <f>VLOOKUP(Tabelle1[[#This Row],[Assist]],Tabelle1[[ISO-alpha3 Code]:[Country/Area]],2,FALSE)</f>
        <v>Turkmenistan</v>
      </c>
      <c r="R237" t="str">
        <f>Tabelle1[[#This Row],[Country/Area]]</f>
        <v>Turkmenistan</v>
      </c>
    </row>
    <row r="238" spans="1:18" x14ac:dyDescent="0.35">
      <c r="A238" s="2">
        <v>19</v>
      </c>
      <c r="B238" t="s">
        <v>190</v>
      </c>
      <c r="C238" s="3" t="s">
        <v>778</v>
      </c>
      <c r="D238" s="2">
        <v>419</v>
      </c>
      <c r="E238" t="s">
        <v>191</v>
      </c>
      <c r="F238" s="2">
        <v>29</v>
      </c>
      <c r="G238" t="s">
        <v>192</v>
      </c>
      <c r="H238" t="s">
        <v>192</v>
      </c>
      <c r="I238" t="s">
        <v>273</v>
      </c>
      <c r="J238" t="s">
        <v>271</v>
      </c>
      <c r="K238" s="2">
        <v>796</v>
      </c>
      <c r="L238" t="s">
        <v>272</v>
      </c>
      <c r="M238" s="3" t="s">
        <v>19</v>
      </c>
      <c r="O238" s="3" t="s">
        <v>605</v>
      </c>
      <c r="P238" t="str">
        <f>IF(Tabelle1[[#This Row],[UN Sovereign States (bool)]]="x", Tabelle1[[#This Row],[ISO-alpha3 Code]], Tabelle1[[#This Row],[Occupier]])</f>
        <v>GBR</v>
      </c>
      <c r="Q238" t="str">
        <f>VLOOKUP(Tabelle1[[#This Row],[Assist]],Tabelle1[[ISO-alpha3 Code]:[Country/Area]],2,FALSE)</f>
        <v>United Kingdom of Great Britain and Northern Ireland</v>
      </c>
      <c r="R238" t="str">
        <f>Tabelle1[[#This Row],[Country/Area]]</f>
        <v>Turks and Caicos Islands</v>
      </c>
    </row>
    <row r="239" spans="1:18" x14ac:dyDescent="0.35">
      <c r="A239" s="2">
        <v>9</v>
      </c>
      <c r="B239" t="s">
        <v>683</v>
      </c>
      <c r="C239" t="s">
        <v>683</v>
      </c>
      <c r="D239" s="2">
        <v>61</v>
      </c>
      <c r="E239" t="s">
        <v>744</v>
      </c>
      <c r="F239" s="2">
        <v>61</v>
      </c>
      <c r="G239" t="s">
        <v>744</v>
      </c>
      <c r="H239" s="2" t="s">
        <v>788</v>
      </c>
      <c r="I239" t="s">
        <v>771</v>
      </c>
      <c r="J239" t="s">
        <v>769</v>
      </c>
      <c r="K239" s="2">
        <v>798</v>
      </c>
      <c r="L239" t="s">
        <v>770</v>
      </c>
      <c r="M239" s="3" t="s">
        <v>19</v>
      </c>
      <c r="N239" s="3" t="s">
        <v>19</v>
      </c>
      <c r="P239" t="str">
        <f>IF(Tabelle1[[#This Row],[UN Sovereign States (bool)]]="x", Tabelle1[[#This Row],[ISO-alpha3 Code]], Tabelle1[[#This Row],[Occupier]])</f>
        <v>TUV</v>
      </c>
      <c r="Q239" t="str">
        <f>VLOOKUP(Tabelle1[[#This Row],[Assist]],Tabelle1[[ISO-alpha3 Code]:[Country/Area]],2,FALSE)</f>
        <v>Tuvalu</v>
      </c>
      <c r="R239" t="str">
        <f>Tabelle1[[#This Row],[Country/Area]]</f>
        <v>Tuvalu</v>
      </c>
    </row>
    <row r="240" spans="1:18" x14ac:dyDescent="0.35">
      <c r="A240" s="2">
        <v>2</v>
      </c>
      <c r="B240" t="s">
        <v>2</v>
      </c>
      <c r="C240" t="s">
        <v>2</v>
      </c>
      <c r="D240" s="2">
        <v>202</v>
      </c>
      <c r="E240" t="s">
        <v>26</v>
      </c>
      <c r="F240" s="2">
        <v>14</v>
      </c>
      <c r="G240" t="s">
        <v>27</v>
      </c>
      <c r="H240" s="2" t="s">
        <v>782</v>
      </c>
      <c r="I240" t="s">
        <v>84</v>
      </c>
      <c r="J240" t="s">
        <v>82</v>
      </c>
      <c r="K240" s="2">
        <v>800</v>
      </c>
      <c r="L240" t="s">
        <v>83</v>
      </c>
      <c r="M240" s="3" t="s">
        <v>19</v>
      </c>
      <c r="N240" s="3" t="s">
        <v>19</v>
      </c>
      <c r="P240" t="str">
        <f>IF(Tabelle1[[#This Row],[UN Sovereign States (bool)]]="x", Tabelle1[[#This Row],[ISO-alpha3 Code]], Tabelle1[[#This Row],[Occupier]])</f>
        <v>UGA</v>
      </c>
      <c r="Q240" t="str">
        <f>VLOOKUP(Tabelle1[[#This Row],[Assist]],Tabelle1[[ISO-alpha3 Code]:[Country/Area]],2,FALSE)</f>
        <v>Uganda</v>
      </c>
      <c r="R240" t="str">
        <f>Tabelle1[[#This Row],[Country/Area]]</f>
        <v>Uganda</v>
      </c>
    </row>
    <row r="241" spans="1:18" x14ac:dyDescent="0.35">
      <c r="A241" s="2">
        <v>150</v>
      </c>
      <c r="B241" t="s">
        <v>525</v>
      </c>
      <c r="C241" t="s">
        <v>525</v>
      </c>
      <c r="D241" s="2">
        <v>151</v>
      </c>
      <c r="E241" t="s">
        <v>526</v>
      </c>
      <c r="F241" s="2">
        <v>151</v>
      </c>
      <c r="G241" t="s">
        <v>526</v>
      </c>
      <c r="H241" s="2" t="s">
        <v>789</v>
      </c>
      <c r="I241" t="s">
        <v>556</v>
      </c>
      <c r="J241" t="s">
        <v>554</v>
      </c>
      <c r="K241" s="2">
        <v>804</v>
      </c>
      <c r="L241" t="s">
        <v>555</v>
      </c>
      <c r="M241" s="3" t="s">
        <v>19</v>
      </c>
      <c r="N241" s="3" t="s">
        <v>19</v>
      </c>
      <c r="P241" t="str">
        <f>IF(Tabelle1[[#This Row],[UN Sovereign States (bool)]]="x", Tabelle1[[#This Row],[ISO-alpha3 Code]], Tabelle1[[#This Row],[Occupier]])</f>
        <v>UKR</v>
      </c>
      <c r="Q241" t="str">
        <f>VLOOKUP(Tabelle1[[#This Row],[Assist]],Tabelle1[[ISO-alpha3 Code]:[Country/Area]],2,FALSE)</f>
        <v>Ukraine</v>
      </c>
      <c r="R241" t="str">
        <f>Tabelle1[[#This Row],[Country/Area]]</f>
        <v>Ukraine</v>
      </c>
    </row>
    <row r="242" spans="1:18" x14ac:dyDescent="0.35">
      <c r="A242" s="2">
        <v>150</v>
      </c>
      <c r="B242" t="s">
        <v>525</v>
      </c>
      <c r="C242" t="s">
        <v>525</v>
      </c>
      <c r="D242" s="2">
        <v>39</v>
      </c>
      <c r="E242" t="s">
        <v>606</v>
      </c>
      <c r="F242" s="2">
        <v>39</v>
      </c>
      <c r="G242" t="s">
        <v>606</v>
      </c>
      <c r="H242" s="4" t="s">
        <v>789</v>
      </c>
      <c r="I242" t="s">
        <v>639</v>
      </c>
      <c r="J242" t="s">
        <v>637</v>
      </c>
      <c r="K242" s="2">
        <v>807</v>
      </c>
      <c r="L242" t="s">
        <v>638</v>
      </c>
      <c r="M242" s="3" t="s">
        <v>19</v>
      </c>
      <c r="N242" s="3" t="s">
        <v>19</v>
      </c>
      <c r="P242" t="str">
        <f>IF(Tabelle1[[#This Row],[UN Sovereign States (bool)]]="x", Tabelle1[[#This Row],[ISO-alpha3 Code]], Tabelle1[[#This Row],[Occupier]])</f>
        <v>MKD</v>
      </c>
      <c r="Q242" t="str">
        <f>VLOOKUP(Tabelle1[[#This Row],[Assist]],Tabelle1[[ISO-alpha3 Code]:[Country/Area]],2,FALSE)</f>
        <v>North Macedonia</v>
      </c>
      <c r="R242" t="str">
        <f>Tabelle1[[#This Row],[Country/Area]]</f>
        <v>North Macedonia</v>
      </c>
    </row>
    <row r="243" spans="1:18" x14ac:dyDescent="0.35">
      <c r="A243" s="2">
        <v>2</v>
      </c>
      <c r="B243" t="s">
        <v>2</v>
      </c>
      <c r="C243" t="s">
        <v>2</v>
      </c>
      <c r="D243" s="2">
        <v>15</v>
      </c>
      <c r="E243" t="s">
        <v>3</v>
      </c>
      <c r="F243" s="2">
        <v>15</v>
      </c>
      <c r="G243" t="s">
        <v>3</v>
      </c>
      <c r="H243" s="2" t="s">
        <v>782</v>
      </c>
      <c r="I243" t="s">
        <v>9</v>
      </c>
      <c r="J243" t="s">
        <v>7</v>
      </c>
      <c r="K243" s="2">
        <v>818</v>
      </c>
      <c r="L243" t="s">
        <v>8</v>
      </c>
      <c r="M243" s="3" t="s">
        <v>19</v>
      </c>
      <c r="N243" s="3" t="s">
        <v>19</v>
      </c>
      <c r="P243" t="str">
        <f>IF(Tabelle1[[#This Row],[UN Sovereign States (bool)]]="x", Tabelle1[[#This Row],[ISO-alpha3 Code]], Tabelle1[[#This Row],[Occupier]])</f>
        <v>EGY</v>
      </c>
      <c r="Q243" t="str">
        <f>VLOOKUP(Tabelle1[[#This Row],[Assist]],Tabelle1[[ISO-alpha3 Code]:[Country/Area]],2,FALSE)</f>
        <v>Egypt</v>
      </c>
      <c r="R243" t="str">
        <f>Tabelle1[[#This Row],[Country/Area]]</f>
        <v>Egypt</v>
      </c>
    </row>
    <row r="244" spans="1:18" x14ac:dyDescent="0.35">
      <c r="A244" s="2">
        <v>150</v>
      </c>
      <c r="B244" t="s">
        <v>525</v>
      </c>
      <c r="C244" t="s">
        <v>525</v>
      </c>
      <c r="D244" s="2">
        <v>154</v>
      </c>
      <c r="E244" t="s">
        <v>557</v>
      </c>
      <c r="F244" s="2">
        <v>154</v>
      </c>
      <c r="G244" t="s">
        <v>557</v>
      </c>
      <c r="H244" s="2" t="s">
        <v>790</v>
      </c>
      <c r="I244" t="s">
        <v>605</v>
      </c>
      <c r="J244" t="s">
        <v>603</v>
      </c>
      <c r="K244" s="2">
        <v>826</v>
      </c>
      <c r="L244" t="s">
        <v>604</v>
      </c>
      <c r="M244" s="3" t="s">
        <v>19</v>
      </c>
      <c r="N244" s="3" t="s">
        <v>19</v>
      </c>
      <c r="P244" t="str">
        <f>IF(Tabelle1[[#This Row],[UN Sovereign States (bool)]]="x", Tabelle1[[#This Row],[ISO-alpha3 Code]], Tabelle1[[#This Row],[Occupier]])</f>
        <v>GBR</v>
      </c>
      <c r="Q244" t="str">
        <f>VLOOKUP(Tabelle1[[#This Row],[Assist]],Tabelle1[[ISO-alpha3 Code]:[Country/Area]],2,FALSE)</f>
        <v>United Kingdom of Great Britain and Northern Ireland</v>
      </c>
      <c r="R244" s="3" t="s">
        <v>830</v>
      </c>
    </row>
    <row r="245" spans="1:18" x14ac:dyDescent="0.35">
      <c r="A245" s="2">
        <v>150</v>
      </c>
      <c r="B245" t="s">
        <v>525</v>
      </c>
      <c r="C245" t="s">
        <v>525</v>
      </c>
      <c r="D245" s="2">
        <v>154</v>
      </c>
      <c r="E245" t="s">
        <v>557</v>
      </c>
      <c r="F245" s="2">
        <v>154</v>
      </c>
      <c r="G245" t="s">
        <v>557</v>
      </c>
      <c r="H245" s="4" t="s">
        <v>810</v>
      </c>
      <c r="I245" t="s">
        <v>575</v>
      </c>
      <c r="J245" t="s">
        <v>573</v>
      </c>
      <c r="K245" s="2">
        <v>831</v>
      </c>
      <c r="L245" t="s">
        <v>574</v>
      </c>
      <c r="M245" s="3" t="s">
        <v>19</v>
      </c>
      <c r="N245" s="3"/>
      <c r="O245" s="3" t="s">
        <v>605</v>
      </c>
      <c r="P245" t="str">
        <f>IF(Tabelle1[[#This Row],[UN Sovereign States (bool)]]="x", Tabelle1[[#This Row],[ISO-alpha3 Code]], Tabelle1[[#This Row],[Occupier]])</f>
        <v>GBR</v>
      </c>
      <c r="Q245" t="str">
        <f>VLOOKUP(Tabelle1[[#This Row],[Assist]],Tabelle1[[ISO-alpha3 Code]:[Country/Area]],2,FALSE)</f>
        <v>United Kingdom of Great Britain and Northern Ireland</v>
      </c>
      <c r="R245" t="str">
        <f>Tabelle1[[#This Row],[Country/Area]]</f>
        <v>Guernsey</v>
      </c>
    </row>
    <row r="246" spans="1:18" x14ac:dyDescent="0.35">
      <c r="A246" s="2">
        <v>150</v>
      </c>
      <c r="B246" t="s">
        <v>525</v>
      </c>
      <c r="C246" t="s">
        <v>525</v>
      </c>
      <c r="D246" s="2">
        <v>154</v>
      </c>
      <c r="E246" t="s">
        <v>557</v>
      </c>
      <c r="F246" s="2">
        <v>154</v>
      </c>
      <c r="G246" t="s">
        <v>557</v>
      </c>
      <c r="H246" s="2" t="s">
        <v>790</v>
      </c>
      <c r="I246" t="s">
        <v>587</v>
      </c>
      <c r="J246" t="s">
        <v>585</v>
      </c>
      <c r="K246" s="2">
        <v>832</v>
      </c>
      <c r="L246" t="s">
        <v>586</v>
      </c>
      <c r="M246" s="3" t="s">
        <v>19</v>
      </c>
      <c r="N246" s="3"/>
      <c r="O246" s="3" t="s">
        <v>605</v>
      </c>
      <c r="P246" t="str">
        <f>IF(Tabelle1[[#This Row],[UN Sovereign States (bool)]]="x", Tabelle1[[#This Row],[ISO-alpha3 Code]], Tabelle1[[#This Row],[Occupier]])</f>
        <v>GBR</v>
      </c>
      <c r="Q246" t="str">
        <f>VLOOKUP(Tabelle1[[#This Row],[Assist]],Tabelle1[[ISO-alpha3 Code]:[Country/Area]],2,FALSE)</f>
        <v>United Kingdom of Great Britain and Northern Ireland</v>
      </c>
      <c r="R246" t="str">
        <f>Tabelle1[[#This Row],[Country/Area]]</f>
        <v>Jersey</v>
      </c>
    </row>
    <row r="247" spans="1:18" x14ac:dyDescent="0.35">
      <c r="A247" s="2">
        <v>150</v>
      </c>
      <c r="B247" t="s">
        <v>525</v>
      </c>
      <c r="C247" t="s">
        <v>525</v>
      </c>
      <c r="D247" s="2">
        <v>154</v>
      </c>
      <c r="E247" t="s">
        <v>557</v>
      </c>
      <c r="F247" s="2">
        <v>154</v>
      </c>
      <c r="G247" t="s">
        <v>557</v>
      </c>
      <c r="H247" s="2" t="s">
        <v>790</v>
      </c>
      <c r="I247" t="s">
        <v>584</v>
      </c>
      <c r="J247" t="s">
        <v>582</v>
      </c>
      <c r="K247" s="2">
        <v>833</v>
      </c>
      <c r="L247" t="s">
        <v>583</v>
      </c>
      <c r="M247" s="3" t="s">
        <v>19</v>
      </c>
      <c r="N247" s="3"/>
      <c r="O247" s="3" t="s">
        <v>605</v>
      </c>
      <c r="P247" t="str">
        <f>IF(Tabelle1[[#This Row],[UN Sovereign States (bool)]]="x", Tabelle1[[#This Row],[ISO-alpha3 Code]], Tabelle1[[#This Row],[Occupier]])</f>
        <v>GBR</v>
      </c>
      <c r="Q247" t="str">
        <f>VLOOKUP(Tabelle1[[#This Row],[Assist]],Tabelle1[[ISO-alpha3 Code]:[Country/Area]],2,FALSE)</f>
        <v>United Kingdom of Great Britain and Northern Ireland</v>
      </c>
      <c r="R247" t="str">
        <f>Tabelle1[[#This Row],[Country/Area]]</f>
        <v>Isle of Man</v>
      </c>
    </row>
    <row r="248" spans="1:18" x14ac:dyDescent="0.35">
      <c r="A248" s="2">
        <v>2</v>
      </c>
      <c r="B248" t="s">
        <v>2</v>
      </c>
      <c r="C248" t="s">
        <v>2</v>
      </c>
      <c r="D248" s="2">
        <v>202</v>
      </c>
      <c r="E248" t="s">
        <v>26</v>
      </c>
      <c r="F248" s="2">
        <v>14</v>
      </c>
      <c r="G248" t="s">
        <v>27</v>
      </c>
      <c r="H248" s="2" t="s">
        <v>781</v>
      </c>
      <c r="I248" t="s">
        <v>87</v>
      </c>
      <c r="J248" t="s">
        <v>85</v>
      </c>
      <c r="K248" s="2">
        <v>834</v>
      </c>
      <c r="L248" t="s">
        <v>86</v>
      </c>
      <c r="M248" s="3" t="s">
        <v>19</v>
      </c>
      <c r="N248" s="3" t="s">
        <v>19</v>
      </c>
      <c r="P248" t="str">
        <f>IF(Tabelle1[[#This Row],[UN Sovereign States (bool)]]="x", Tabelle1[[#This Row],[ISO-alpha3 Code]], Tabelle1[[#This Row],[Occupier]])</f>
        <v>TZA</v>
      </c>
      <c r="Q248" t="str">
        <f>VLOOKUP(Tabelle1[[#This Row],[Assist]],Tabelle1[[ISO-alpha3 Code]:[Country/Area]],2,FALSE)</f>
        <v>United Republic of Tanzania</v>
      </c>
      <c r="R248" t="str">
        <f>Tabelle1[[#This Row],[Country/Area]]</f>
        <v>United Republic of Tanzania</v>
      </c>
    </row>
    <row r="249" spans="1:18" x14ac:dyDescent="0.35">
      <c r="A249" s="2">
        <v>19</v>
      </c>
      <c r="B249" t="s">
        <v>190</v>
      </c>
      <c r="C249" s="3" t="s">
        <v>778</v>
      </c>
      <c r="D249" s="2">
        <v>21</v>
      </c>
      <c r="E249" t="s">
        <v>351</v>
      </c>
      <c r="F249" s="2">
        <v>21</v>
      </c>
      <c r="G249" t="s">
        <v>351</v>
      </c>
      <c r="H249" s="2" t="s">
        <v>778</v>
      </c>
      <c r="I249" t="s">
        <v>366</v>
      </c>
      <c r="J249" t="s">
        <v>364</v>
      </c>
      <c r="K249" s="2">
        <v>840</v>
      </c>
      <c r="L249" t="s">
        <v>365</v>
      </c>
      <c r="M249" s="3" t="s">
        <v>19</v>
      </c>
      <c r="N249" s="3" t="s">
        <v>19</v>
      </c>
      <c r="P249" t="str">
        <f>IF(Tabelle1[[#This Row],[UN Sovereign States (bool)]]="x", Tabelle1[[#This Row],[ISO-alpha3 Code]], Tabelle1[[#This Row],[Occupier]])</f>
        <v>USA</v>
      </c>
      <c r="Q249" t="str">
        <f>VLOOKUP(Tabelle1[[#This Row],[Assist]],Tabelle1[[ISO-alpha3 Code]:[Country/Area]],2,FALSE)</f>
        <v>United States of America</v>
      </c>
      <c r="R249" t="str">
        <f>Tabelle1[[#This Row],[Country/Area]]</f>
        <v>United States of America</v>
      </c>
    </row>
    <row r="250" spans="1:18" x14ac:dyDescent="0.35">
      <c r="A250" s="2">
        <v>19</v>
      </c>
      <c r="B250" t="s">
        <v>190</v>
      </c>
      <c r="C250" s="3" t="s">
        <v>778</v>
      </c>
      <c r="D250" s="2">
        <v>419</v>
      </c>
      <c r="E250" t="s">
        <v>191</v>
      </c>
      <c r="F250" s="2">
        <v>29</v>
      </c>
      <c r="G250" t="s">
        <v>192</v>
      </c>
      <c r="H250" t="s">
        <v>192</v>
      </c>
      <c r="I250" t="s">
        <v>276</v>
      </c>
      <c r="J250" t="s">
        <v>274</v>
      </c>
      <c r="K250" s="2">
        <v>850</v>
      </c>
      <c r="L250" t="s">
        <v>275</v>
      </c>
      <c r="M250" s="3" t="s">
        <v>19</v>
      </c>
      <c r="O250" s="3" t="s">
        <v>366</v>
      </c>
      <c r="P250" t="str">
        <f>IF(Tabelle1[[#This Row],[UN Sovereign States (bool)]]="x", Tabelle1[[#This Row],[ISO-alpha3 Code]], Tabelle1[[#This Row],[Occupier]])</f>
        <v>USA</v>
      </c>
      <c r="Q250" t="str">
        <f>VLOOKUP(Tabelle1[[#This Row],[Assist]],Tabelle1[[ISO-alpha3 Code]:[Country/Area]],2,FALSE)</f>
        <v>United States of America</v>
      </c>
      <c r="R250" t="str">
        <f>Tabelle1[[#This Row],[Country/Area]]</f>
        <v>United States Virgin Islands</v>
      </c>
    </row>
    <row r="251" spans="1:18" x14ac:dyDescent="0.35">
      <c r="A251" s="2">
        <v>2</v>
      </c>
      <c r="B251" t="s">
        <v>2</v>
      </c>
      <c r="C251" t="s">
        <v>2</v>
      </c>
      <c r="D251" s="2">
        <v>202</v>
      </c>
      <c r="E251" t="s">
        <v>26</v>
      </c>
      <c r="F251" s="2">
        <v>11</v>
      </c>
      <c r="G251" t="s">
        <v>138</v>
      </c>
      <c r="H251" s="2" t="s">
        <v>785</v>
      </c>
      <c r="I251" t="s">
        <v>144</v>
      </c>
      <c r="J251" t="s">
        <v>142</v>
      </c>
      <c r="K251" s="2">
        <v>854</v>
      </c>
      <c r="L251" t="s">
        <v>143</v>
      </c>
      <c r="M251" s="3" t="s">
        <v>19</v>
      </c>
      <c r="N251" s="3" t="s">
        <v>19</v>
      </c>
      <c r="P251" t="str">
        <f>IF(Tabelle1[[#This Row],[UN Sovereign States (bool)]]="x", Tabelle1[[#This Row],[ISO-alpha3 Code]], Tabelle1[[#This Row],[Occupier]])</f>
        <v>BFA</v>
      </c>
      <c r="Q251" t="str">
        <f>VLOOKUP(Tabelle1[[#This Row],[Assist]],Tabelle1[[ISO-alpha3 Code]:[Country/Area]],2,FALSE)</f>
        <v>Burkina Faso</v>
      </c>
      <c r="R251" t="str">
        <f>Tabelle1[[#This Row],[Country/Area]]</f>
        <v>Burkina Faso</v>
      </c>
    </row>
    <row r="252" spans="1:18" x14ac:dyDescent="0.35">
      <c r="A252" s="2">
        <v>19</v>
      </c>
      <c r="B252" t="s">
        <v>190</v>
      </c>
      <c r="C252" s="3" t="s">
        <v>302</v>
      </c>
      <c r="D252" s="2">
        <v>419</v>
      </c>
      <c r="E252" t="s">
        <v>191</v>
      </c>
      <c r="F252" s="2">
        <v>5</v>
      </c>
      <c r="G252" t="s">
        <v>302</v>
      </c>
      <c r="H252" s="2" t="s">
        <v>793</v>
      </c>
      <c r="I252" t="s">
        <v>347</v>
      </c>
      <c r="J252" t="s">
        <v>345</v>
      </c>
      <c r="K252" s="2">
        <v>858</v>
      </c>
      <c r="L252" t="s">
        <v>346</v>
      </c>
      <c r="M252" s="3" t="s">
        <v>19</v>
      </c>
      <c r="N252" s="3" t="s">
        <v>19</v>
      </c>
      <c r="P252" t="str">
        <f>IF(Tabelle1[[#This Row],[UN Sovereign States (bool)]]="x", Tabelle1[[#This Row],[ISO-alpha3 Code]], Tabelle1[[#This Row],[Occupier]])</f>
        <v>URY</v>
      </c>
      <c r="Q252" t="str">
        <f>VLOOKUP(Tabelle1[[#This Row],[Assist]],Tabelle1[[ISO-alpha3 Code]:[Country/Area]],2,FALSE)</f>
        <v>Uruguay</v>
      </c>
      <c r="R252" t="str">
        <f>Tabelle1[[#This Row],[Country/Area]]</f>
        <v>Uruguay</v>
      </c>
    </row>
    <row r="253" spans="1:18" x14ac:dyDescent="0.35">
      <c r="A253" s="2">
        <v>142</v>
      </c>
      <c r="B253" t="s">
        <v>370</v>
      </c>
      <c r="C253" t="s">
        <v>370</v>
      </c>
      <c r="D253" s="2">
        <v>143</v>
      </c>
      <c r="E253" t="s">
        <v>371</v>
      </c>
      <c r="F253" s="2">
        <v>143</v>
      </c>
      <c r="G253" t="s">
        <v>371</v>
      </c>
      <c r="H253" t="s">
        <v>796</v>
      </c>
      <c r="I253" t="s">
        <v>386</v>
      </c>
      <c r="J253" t="s">
        <v>384</v>
      </c>
      <c r="K253" s="2">
        <v>860</v>
      </c>
      <c r="L253" t="s">
        <v>385</v>
      </c>
      <c r="M253" s="3" t="s">
        <v>19</v>
      </c>
      <c r="N253" s="3" t="s">
        <v>19</v>
      </c>
      <c r="P253" t="str">
        <f>IF(Tabelle1[[#This Row],[UN Sovereign States (bool)]]="x", Tabelle1[[#This Row],[ISO-alpha3 Code]], Tabelle1[[#This Row],[Occupier]])</f>
        <v>UZB</v>
      </c>
      <c r="Q253" t="str">
        <f>VLOOKUP(Tabelle1[[#This Row],[Assist]],Tabelle1[[ISO-alpha3 Code]:[Country/Area]],2,FALSE)</f>
        <v>Uzbekistan</v>
      </c>
      <c r="R253" t="str">
        <f>Tabelle1[[#This Row],[Country/Area]]</f>
        <v>Uzbekistan</v>
      </c>
    </row>
    <row r="254" spans="1:18" x14ac:dyDescent="0.35">
      <c r="A254" s="2">
        <v>19</v>
      </c>
      <c r="B254" t="s">
        <v>190</v>
      </c>
      <c r="C254" s="3" t="s">
        <v>302</v>
      </c>
      <c r="D254" s="2">
        <v>419</v>
      </c>
      <c r="E254" t="s">
        <v>191</v>
      </c>
      <c r="F254" s="2">
        <v>5</v>
      </c>
      <c r="G254" t="s">
        <v>302</v>
      </c>
      <c r="H254" s="2" t="s">
        <v>795</v>
      </c>
      <c r="I254" t="s">
        <v>350</v>
      </c>
      <c r="J254" t="s">
        <v>348</v>
      </c>
      <c r="K254" s="2">
        <v>862</v>
      </c>
      <c r="L254" t="s">
        <v>349</v>
      </c>
      <c r="M254" s="3" t="s">
        <v>19</v>
      </c>
      <c r="N254" s="3" t="s">
        <v>19</v>
      </c>
      <c r="P254" t="str">
        <f>IF(Tabelle1[[#This Row],[UN Sovereign States (bool)]]="x", Tabelle1[[#This Row],[ISO-alpha3 Code]], Tabelle1[[#This Row],[Occupier]])</f>
        <v>VEN</v>
      </c>
      <c r="Q254" t="str">
        <f>VLOOKUP(Tabelle1[[#This Row],[Assist]],Tabelle1[[ISO-alpha3 Code]:[Country/Area]],2,FALSE)</f>
        <v>Venezuela (Bolivarian Republic of)</v>
      </c>
      <c r="R254" t="str">
        <f>Tabelle1[[#This Row],[Country/Area]]</f>
        <v>Venezuela (Bolivarian Republic of)</v>
      </c>
    </row>
    <row r="255" spans="1:18" x14ac:dyDescent="0.35">
      <c r="A255" s="2">
        <v>9</v>
      </c>
      <c r="B255" t="s">
        <v>683</v>
      </c>
      <c r="C255" t="s">
        <v>683</v>
      </c>
      <c r="D255" s="2">
        <v>61</v>
      </c>
      <c r="E255" t="s">
        <v>744</v>
      </c>
      <c r="F255" s="2">
        <v>61</v>
      </c>
      <c r="G255" t="s">
        <v>744</v>
      </c>
      <c r="H255" s="2" t="s">
        <v>788</v>
      </c>
      <c r="I255" t="s">
        <v>774</v>
      </c>
      <c r="J255" t="s">
        <v>772</v>
      </c>
      <c r="K255" s="2">
        <v>876</v>
      </c>
      <c r="L255" t="s">
        <v>773</v>
      </c>
      <c r="M255" s="3" t="s">
        <v>19</v>
      </c>
      <c r="O255" s="3" t="s">
        <v>664</v>
      </c>
      <c r="P255" t="str">
        <f>IF(Tabelle1[[#This Row],[UN Sovereign States (bool)]]="x", Tabelle1[[#This Row],[ISO-alpha3 Code]], Tabelle1[[#This Row],[Occupier]])</f>
        <v>FRA</v>
      </c>
      <c r="Q255" t="str">
        <f>VLOOKUP(Tabelle1[[#This Row],[Assist]],Tabelle1[[ISO-alpha3 Code]:[Country/Area]],2,FALSE)</f>
        <v>France</v>
      </c>
      <c r="R255" t="str">
        <f>Tabelle1[[#This Row],[Country/Area]]</f>
        <v>Wallis and Futuna Islands</v>
      </c>
    </row>
    <row r="256" spans="1:18" x14ac:dyDescent="0.35">
      <c r="A256" s="2">
        <v>9</v>
      </c>
      <c r="B256" t="s">
        <v>683</v>
      </c>
      <c r="C256" t="s">
        <v>683</v>
      </c>
      <c r="D256" s="2">
        <v>61</v>
      </c>
      <c r="E256" t="s">
        <v>744</v>
      </c>
      <c r="F256" s="2">
        <v>61</v>
      </c>
      <c r="G256" t="s">
        <v>744</v>
      </c>
      <c r="H256" s="2" t="s">
        <v>788</v>
      </c>
      <c r="I256" t="s">
        <v>762</v>
      </c>
      <c r="J256" t="s">
        <v>760</v>
      </c>
      <c r="K256" s="2">
        <v>882</v>
      </c>
      <c r="L256" t="s">
        <v>761</v>
      </c>
      <c r="M256" s="3" t="s">
        <v>19</v>
      </c>
      <c r="N256" s="3" t="s">
        <v>19</v>
      </c>
      <c r="P256" t="str">
        <f>IF(Tabelle1[[#This Row],[UN Sovereign States (bool)]]="x", Tabelle1[[#This Row],[ISO-alpha3 Code]], Tabelle1[[#This Row],[Occupier]])</f>
        <v>WSM</v>
      </c>
      <c r="Q256" t="str">
        <f>VLOOKUP(Tabelle1[[#This Row],[Assist]],Tabelle1[[ISO-alpha3 Code]:[Country/Area]],2,FALSE)</f>
        <v>Samoa</v>
      </c>
      <c r="R256" t="str">
        <f>Tabelle1[[#This Row],[Country/Area]]</f>
        <v>Samoa</v>
      </c>
    </row>
    <row r="257" spans="1:18" x14ac:dyDescent="0.35">
      <c r="A257" s="2">
        <v>142</v>
      </c>
      <c r="B257" t="s">
        <v>370</v>
      </c>
      <c r="C257" t="s">
        <v>370</v>
      </c>
      <c r="D257" s="2">
        <v>145</v>
      </c>
      <c r="E257" t="s">
        <v>471</v>
      </c>
      <c r="F257" s="2">
        <v>145</v>
      </c>
      <c r="G257" t="s">
        <v>471</v>
      </c>
      <c r="H257" s="2" t="s">
        <v>799</v>
      </c>
      <c r="I257" t="s">
        <v>524</v>
      </c>
      <c r="J257" t="s">
        <v>522</v>
      </c>
      <c r="K257" s="2">
        <v>887</v>
      </c>
      <c r="L257" t="s">
        <v>523</v>
      </c>
      <c r="M257" s="3" t="s">
        <v>19</v>
      </c>
      <c r="N257" s="3" t="s">
        <v>19</v>
      </c>
      <c r="P257" t="str">
        <f>IF(Tabelle1[[#This Row],[UN Sovereign States (bool)]]="x", Tabelle1[[#This Row],[ISO-alpha3 Code]], Tabelle1[[#This Row],[Occupier]])</f>
        <v>YEM</v>
      </c>
      <c r="Q257" t="str">
        <f>VLOOKUP(Tabelle1[[#This Row],[Assist]],Tabelle1[[ISO-alpha3 Code]:[Country/Area]],2,FALSE)</f>
        <v>Yemen</v>
      </c>
      <c r="R257" t="str">
        <f>Tabelle1[[#This Row],[Country/Area]]</f>
        <v>Yemen</v>
      </c>
    </row>
    <row r="258" spans="1:18" x14ac:dyDescent="0.35">
      <c r="A258" s="2">
        <v>2</v>
      </c>
      <c r="B258" t="s">
        <v>2</v>
      </c>
      <c r="C258" t="s">
        <v>2</v>
      </c>
      <c r="D258" s="2">
        <v>202</v>
      </c>
      <c r="E258" t="s">
        <v>26</v>
      </c>
      <c r="F258" s="2">
        <v>14</v>
      </c>
      <c r="G258" t="s">
        <v>27</v>
      </c>
      <c r="H258" s="2" t="s">
        <v>783</v>
      </c>
      <c r="I258" t="s">
        <v>90</v>
      </c>
      <c r="J258" t="s">
        <v>88</v>
      </c>
      <c r="K258" s="2">
        <v>894</v>
      </c>
      <c r="L258" t="s">
        <v>89</v>
      </c>
      <c r="M258" s="3" t="s">
        <v>19</v>
      </c>
      <c r="N258" s="3" t="s">
        <v>19</v>
      </c>
      <c r="P258" t="str">
        <f>IF(Tabelle1[[#This Row],[UN Sovereign States (bool)]]="x", Tabelle1[[#This Row],[ISO-alpha3 Code]], Tabelle1[[#This Row],[Occupier]])</f>
        <v>ZMB</v>
      </c>
      <c r="Q258" t="str">
        <f>VLOOKUP(Tabelle1[[#This Row],[Assist]],Tabelle1[[ISO-alpha3 Code]:[Country/Area]],2,FALSE)</f>
        <v>Zambia</v>
      </c>
      <c r="R258" t="str">
        <f>Tabelle1[[#This Row],[Country/Area]]</f>
        <v>Zambia</v>
      </c>
    </row>
  </sheetData>
  <sortState xmlns:xlrd2="http://schemas.microsoft.com/office/spreadsheetml/2017/richdata2" ref="A2:O252">
    <sortCondition ref="J1:J252"/>
  </sortState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 Ruiz de Zarate, Anais</cp:lastModifiedBy>
  <dcterms:modified xsi:type="dcterms:W3CDTF">2025-08-24T10:41:51Z</dcterms:modified>
</cp:coreProperties>
</file>